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tin\OneDrive\Área de Trabalho\"/>
    </mc:Choice>
  </mc:AlternateContent>
  <xr:revisionPtr revIDLastSave="0" documentId="13_ncr:1_{25AF5044-BC7C-4D44-B1C3-DBB60AA3E0E2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Planilha1" sheetId="1" r:id="rId1"/>
    <sheet name="Planilha2" sheetId="2" r:id="rId2"/>
    <sheet name="Planilha3_Finneti" sheetId="4" r:id="rId3"/>
  </sheets>
  <calcPr calcId="181029"/>
</workbook>
</file>

<file path=xl/calcChain.xml><?xml version="1.0" encoding="utf-8"?>
<calcChain xmlns="http://schemas.openxmlformats.org/spreadsheetml/2006/main">
  <c r="J113" i="4" l="1"/>
  <c r="J114" i="4"/>
  <c r="J112" i="4"/>
  <c r="F113" i="4"/>
  <c r="F114" i="4"/>
  <c r="F112" i="4"/>
  <c r="I117" i="4"/>
  <c r="I118" i="4" s="1"/>
  <c r="I119" i="4" s="1"/>
  <c r="J98" i="4"/>
  <c r="J97" i="4"/>
  <c r="J96" i="4"/>
  <c r="I101" i="4"/>
  <c r="I102" i="4" s="1"/>
  <c r="I103" i="4" s="1"/>
  <c r="J71" i="4"/>
  <c r="J70" i="4"/>
  <c r="J69" i="4"/>
  <c r="I74" i="4"/>
  <c r="I75" i="4" s="1"/>
  <c r="I76" i="4" s="1"/>
  <c r="J43" i="4"/>
  <c r="J42" i="4"/>
  <c r="J41" i="4"/>
  <c r="I46" i="4"/>
  <c r="I47" i="4" s="1"/>
  <c r="I48" i="4" s="1"/>
  <c r="J17" i="4"/>
  <c r="J16" i="4"/>
  <c r="I20" i="4" s="1"/>
  <c r="I21" i="4" s="1"/>
  <c r="I22" i="4" s="1"/>
  <c r="J15" i="4"/>
  <c r="E20" i="4"/>
  <c r="E46" i="4"/>
  <c r="E74" i="4"/>
  <c r="F91" i="4"/>
  <c r="G91" i="4"/>
  <c r="H91" i="4"/>
  <c r="I91" i="4"/>
  <c r="J91" i="4"/>
  <c r="E91" i="4"/>
  <c r="F90" i="4"/>
  <c r="O91" i="4" s="1"/>
  <c r="G90" i="4"/>
  <c r="P91" i="4" s="1"/>
  <c r="H90" i="4"/>
  <c r="I90" i="4"/>
  <c r="J90" i="4"/>
  <c r="E90" i="4"/>
  <c r="F64" i="4"/>
  <c r="G64" i="4"/>
  <c r="O63" i="4" s="1"/>
  <c r="H64" i="4"/>
  <c r="I64" i="4"/>
  <c r="P65" i="4" s="1"/>
  <c r="J64" i="4"/>
  <c r="E64" i="4"/>
  <c r="F63" i="4"/>
  <c r="G63" i="4"/>
  <c r="H63" i="4"/>
  <c r="I63" i="4"/>
  <c r="J63" i="4"/>
  <c r="S62" i="4" s="1"/>
  <c r="E63" i="4"/>
  <c r="R66" i="4"/>
  <c r="R65" i="4"/>
  <c r="Q65" i="4"/>
  <c r="Q64" i="4"/>
  <c r="P64" i="4"/>
  <c r="Q66" i="4"/>
  <c r="O64" i="4"/>
  <c r="Q62" i="4"/>
  <c r="R62" i="4"/>
  <c r="P62" i="4"/>
  <c r="O62" i="4"/>
  <c r="S33" i="4"/>
  <c r="R33" i="4"/>
  <c r="Q33" i="4"/>
  <c r="P33" i="4"/>
  <c r="O33" i="4"/>
  <c r="N38" i="4"/>
  <c r="N37" i="4"/>
  <c r="N36" i="4"/>
  <c r="N35" i="4"/>
  <c r="N34" i="4"/>
  <c r="S37" i="4"/>
  <c r="S36" i="4"/>
  <c r="S35" i="4"/>
  <c r="R35" i="4"/>
  <c r="Q35" i="4"/>
  <c r="S34" i="4"/>
  <c r="R34" i="4"/>
  <c r="Q34" i="4"/>
  <c r="R36" i="4"/>
  <c r="P34" i="4"/>
  <c r="AC6" i="4"/>
  <c r="G36" i="4"/>
  <c r="P35" i="4" s="1"/>
  <c r="F36" i="4"/>
  <c r="H36" i="4"/>
  <c r="I36" i="4"/>
  <c r="R37" i="4" s="1"/>
  <c r="J36" i="4"/>
  <c r="E36" i="4"/>
  <c r="F35" i="4"/>
  <c r="E35" i="4"/>
  <c r="E8" i="4"/>
  <c r="Q36" i="4"/>
  <c r="G35" i="4"/>
  <c r="H35" i="4"/>
  <c r="I35" i="4"/>
  <c r="J35" i="4"/>
  <c r="I9" i="4"/>
  <c r="R17" i="2"/>
  <c r="Q23" i="2"/>
  <c r="S23" i="2"/>
  <c r="N6" i="2"/>
  <c r="C17" i="1"/>
  <c r="C19" i="1" s="1"/>
  <c r="B5" i="1" s="1"/>
  <c r="N22" i="2"/>
  <c r="N21" i="2"/>
  <c r="N20" i="2"/>
  <c r="N19" i="2"/>
  <c r="N18" i="2"/>
  <c r="N17" i="2"/>
  <c r="E117" i="4" l="1"/>
  <c r="E118" i="4" s="1"/>
  <c r="E119" i="4" s="1"/>
  <c r="R92" i="4"/>
  <c r="Q93" i="4"/>
  <c r="Q91" i="4"/>
  <c r="Q88" i="4"/>
  <c r="Q92" i="4"/>
  <c r="Q90" i="4"/>
  <c r="Q89" i="4"/>
  <c r="S90" i="4"/>
  <c r="N90" i="4"/>
  <c r="P92" i="4"/>
  <c r="O90" i="4"/>
  <c r="O92" i="4"/>
  <c r="P93" i="4"/>
  <c r="P90" i="4"/>
  <c r="N91" i="4"/>
  <c r="R91" i="4"/>
  <c r="S92" i="4"/>
  <c r="S89" i="4"/>
  <c r="N88" i="4"/>
  <c r="N89" i="4"/>
  <c r="S91" i="4"/>
  <c r="R88" i="4"/>
  <c r="S88" i="4"/>
  <c r="R93" i="4"/>
  <c r="O88" i="4"/>
  <c r="O89" i="4"/>
  <c r="N93" i="4"/>
  <c r="R89" i="4"/>
  <c r="S93" i="4"/>
  <c r="P88" i="4"/>
  <c r="P89" i="4"/>
  <c r="R90" i="4"/>
  <c r="N92" i="4"/>
  <c r="O93" i="4"/>
  <c r="R63" i="4"/>
  <c r="N63" i="4"/>
  <c r="R61" i="4"/>
  <c r="N61" i="4"/>
  <c r="S66" i="4"/>
  <c r="O61" i="4"/>
  <c r="V60" i="4" s="1"/>
  <c r="R64" i="4"/>
  <c r="S65" i="4"/>
  <c r="N62" i="4"/>
  <c r="P61" i="4"/>
  <c r="P63" i="4"/>
  <c r="S64" i="4"/>
  <c r="Q61" i="4"/>
  <c r="Q63" i="4"/>
  <c r="N66" i="4"/>
  <c r="N65" i="4"/>
  <c r="O66" i="4"/>
  <c r="S61" i="4"/>
  <c r="S63" i="4"/>
  <c r="N64" i="4"/>
  <c r="O65" i="4"/>
  <c r="P66" i="4"/>
  <c r="O34" i="4"/>
  <c r="O35" i="4"/>
  <c r="P36" i="4"/>
  <c r="S38" i="4"/>
  <c r="V32" i="4"/>
  <c r="Q37" i="4"/>
  <c r="R38" i="4"/>
  <c r="N33" i="4"/>
  <c r="O38" i="4"/>
  <c r="O37" i="4"/>
  <c r="P38" i="4"/>
  <c r="O36" i="4"/>
  <c r="Z34" i="4" s="1"/>
  <c r="P37" i="4"/>
  <c r="Q38" i="4"/>
  <c r="H8" i="4"/>
  <c r="Q10" i="4" s="1"/>
  <c r="F8" i="4"/>
  <c r="I8" i="4"/>
  <c r="G8" i="4"/>
  <c r="P10" i="4" s="1"/>
  <c r="J8" i="4"/>
  <c r="H9" i="4"/>
  <c r="J9" i="4"/>
  <c r="E9" i="4"/>
  <c r="F9" i="4"/>
  <c r="G9" i="4"/>
  <c r="O8" i="4" s="1"/>
  <c r="F9" i="1"/>
  <c r="J9" i="1"/>
  <c r="I9" i="1"/>
  <c r="H9" i="1"/>
  <c r="I8" i="2"/>
  <c r="G9" i="1"/>
  <c r="C18" i="1"/>
  <c r="B4" i="1" s="1"/>
  <c r="E9" i="1"/>
  <c r="AC88" i="4" l="1"/>
  <c r="AC89" i="4" s="1"/>
  <c r="Z91" i="4"/>
  <c r="V89" i="4"/>
  <c r="Z90" i="4"/>
  <c r="Z92" i="4"/>
  <c r="Z88" i="4"/>
  <c r="V88" i="4"/>
  <c r="Z89" i="4"/>
  <c r="V87" i="4"/>
  <c r="V62" i="4"/>
  <c r="AC61" i="4"/>
  <c r="AC62" i="4" s="1"/>
  <c r="Z62" i="4"/>
  <c r="Z63" i="4"/>
  <c r="V61" i="4"/>
  <c r="F71" i="4" s="1"/>
  <c r="Z61" i="4"/>
  <c r="Z65" i="4"/>
  <c r="F70" i="4"/>
  <c r="Z64" i="4"/>
  <c r="V33" i="4"/>
  <c r="Z37" i="4"/>
  <c r="AC33" i="4"/>
  <c r="AC34" i="4" s="1"/>
  <c r="V34" i="4"/>
  <c r="F43" i="4" s="1"/>
  <c r="Z36" i="4"/>
  <c r="Z35" i="4"/>
  <c r="Z33" i="4"/>
  <c r="N9" i="4"/>
  <c r="N7" i="4"/>
  <c r="N10" i="4"/>
  <c r="N11" i="4"/>
  <c r="N8" i="4"/>
  <c r="N6" i="4"/>
  <c r="O6" i="4"/>
  <c r="O7" i="4"/>
  <c r="P11" i="4"/>
  <c r="R11" i="4"/>
  <c r="Q11" i="4"/>
  <c r="O11" i="4"/>
  <c r="O9" i="4"/>
  <c r="P9" i="4"/>
  <c r="P7" i="4"/>
  <c r="P8" i="4"/>
  <c r="P6" i="4"/>
  <c r="R7" i="4"/>
  <c r="R9" i="4"/>
  <c r="R10" i="4"/>
  <c r="R8" i="4"/>
  <c r="R6" i="4"/>
  <c r="Q8" i="4"/>
  <c r="Q9" i="4"/>
  <c r="Q7" i="4"/>
  <c r="Q6" i="4"/>
  <c r="S8" i="4"/>
  <c r="S6" i="4"/>
  <c r="S10" i="4"/>
  <c r="S11" i="4"/>
  <c r="S7" i="4"/>
  <c r="S9" i="4"/>
  <c r="O10" i="4"/>
  <c r="F8" i="2"/>
  <c r="G8" i="2"/>
  <c r="E8" i="2"/>
  <c r="H8" i="2"/>
  <c r="D8" i="2"/>
  <c r="J8" i="1"/>
  <c r="I8" i="1"/>
  <c r="G8" i="1"/>
  <c r="F8" i="1"/>
  <c r="E8" i="1"/>
  <c r="H8" i="1"/>
  <c r="F98" i="4" l="1"/>
  <c r="F97" i="4"/>
  <c r="F96" i="4"/>
  <c r="E101" i="4" s="1"/>
  <c r="F69" i="4"/>
  <c r="E75" i="4"/>
  <c r="E76" i="4" s="1"/>
  <c r="F42" i="4"/>
  <c r="F41" i="4"/>
  <c r="Z9" i="4"/>
  <c r="Z8" i="4"/>
  <c r="Z7" i="4"/>
  <c r="AC7" i="4"/>
  <c r="Z10" i="4"/>
  <c r="V6" i="4"/>
  <c r="F15" i="4" s="1"/>
  <c r="Z6" i="4"/>
  <c r="V5" i="4"/>
  <c r="V7" i="4"/>
  <c r="Q8" i="1"/>
  <c r="Q6" i="1"/>
  <c r="Q9" i="1"/>
  <c r="O20" i="2" s="1"/>
  <c r="Q10" i="1"/>
  <c r="Q7" i="1"/>
  <c r="Q11" i="1"/>
  <c r="F7" i="2"/>
  <c r="D7" i="2"/>
  <c r="G7" i="2"/>
  <c r="I7" i="2"/>
  <c r="H7" i="2"/>
  <c r="E7" i="2"/>
  <c r="P7" i="1"/>
  <c r="P11" i="1"/>
  <c r="P9" i="1"/>
  <c r="P6" i="1"/>
  <c r="P10" i="1"/>
  <c r="P8" i="1"/>
  <c r="O19" i="2" s="1"/>
  <c r="R7" i="1"/>
  <c r="R9" i="1"/>
  <c r="R6" i="1"/>
  <c r="R8" i="1"/>
  <c r="R11" i="1"/>
  <c r="R10" i="1"/>
  <c r="O21" i="2" s="1"/>
  <c r="O6" i="1"/>
  <c r="O8" i="1"/>
  <c r="O7" i="1"/>
  <c r="O11" i="1"/>
  <c r="O9" i="1"/>
  <c r="O10" i="1"/>
  <c r="S9" i="1"/>
  <c r="S6" i="1"/>
  <c r="S11" i="1"/>
  <c r="O22" i="2" s="1"/>
  <c r="S10" i="1"/>
  <c r="S7" i="1"/>
  <c r="S8" i="1"/>
  <c r="N11" i="1"/>
  <c r="N8" i="1"/>
  <c r="N9" i="1"/>
  <c r="N7" i="1"/>
  <c r="N10" i="1"/>
  <c r="N6" i="1"/>
  <c r="R25" i="2" s="1"/>
  <c r="R26" i="2" s="1"/>
  <c r="V7" i="1" l="1"/>
  <c r="Z9" i="1"/>
  <c r="Z8" i="1"/>
  <c r="P7" i="2"/>
  <c r="S10" i="2"/>
  <c r="O6" i="2"/>
  <c r="Q6" i="2"/>
  <c r="R8" i="2"/>
  <c r="N7" i="2"/>
  <c r="Q7" i="2"/>
  <c r="O9" i="2"/>
  <c r="N10" i="2"/>
  <c r="N11" i="2"/>
  <c r="S8" i="2"/>
  <c r="Q10" i="2"/>
  <c r="P11" i="2"/>
  <c r="R7" i="2"/>
  <c r="O10" i="2"/>
  <c r="P9" i="2"/>
  <c r="P10" i="2"/>
  <c r="S7" i="2"/>
  <c r="Q9" i="2"/>
  <c r="O7" i="2"/>
  <c r="Q11" i="2"/>
  <c r="R6" i="2"/>
  <c r="N8" i="2"/>
  <c r="P6" i="2"/>
  <c r="S11" i="2"/>
  <c r="R11" i="2"/>
  <c r="Q8" i="2"/>
  <c r="R10" i="2"/>
  <c r="N9" i="2"/>
  <c r="S9" i="2"/>
  <c r="O8" i="2"/>
  <c r="P8" i="2"/>
  <c r="O11" i="2"/>
  <c r="S6" i="2"/>
  <c r="R9" i="2"/>
  <c r="E102" i="4"/>
  <c r="E103" i="4" s="1"/>
  <c r="E47" i="4"/>
  <c r="E48" i="4" s="1"/>
  <c r="E21" i="4"/>
  <c r="E22" i="4" s="1"/>
  <c r="V12" i="4"/>
  <c r="F17" i="4"/>
  <c r="V14" i="4"/>
  <c r="F16" i="4"/>
  <c r="V13" i="4"/>
  <c r="O18" i="2"/>
  <c r="AC6" i="1"/>
  <c r="AC7" i="1" s="1"/>
  <c r="Z7" i="1"/>
  <c r="Q21" i="1"/>
  <c r="Z10" i="1"/>
  <c r="O17" i="2"/>
  <c r="V6" i="1"/>
  <c r="Z6" i="1"/>
  <c r="V5" i="1"/>
  <c r="V13" i="1" l="1"/>
  <c r="Q17" i="2"/>
  <c r="R23" i="2" s="1"/>
  <c r="R20" i="2"/>
  <c r="Q20" i="2"/>
  <c r="N24" i="2"/>
  <c r="R22" i="1"/>
  <c r="Q22" i="1"/>
  <c r="R23" i="1" s="1"/>
  <c r="S17" i="1"/>
  <c r="S16" i="1"/>
  <c r="V14" i="1"/>
  <c r="S18" i="1"/>
  <c r="V12" i="1"/>
  <c r="Z9" i="2"/>
  <c r="Z8" i="2" l="1"/>
  <c r="Z6" i="2"/>
  <c r="V5" i="2"/>
  <c r="Z10" i="2"/>
  <c r="V7" i="2"/>
  <c r="Z7" i="2"/>
  <c r="Z5" i="2"/>
  <c r="V6" i="2"/>
  <c r="R21" i="1"/>
  <c r="E16" i="2" l="1"/>
  <c r="V8" i="2"/>
  <c r="E17" i="2"/>
  <c r="V10" i="2"/>
  <c r="E15" i="2"/>
  <c r="N23" i="2"/>
  <c r="V9" i="2"/>
</calcChain>
</file>

<file path=xl/sharedStrings.xml><?xml version="1.0" encoding="utf-8"?>
<sst xmlns="http://schemas.openxmlformats.org/spreadsheetml/2006/main" count="255" uniqueCount="82">
  <si>
    <t>Média Gols (xG)</t>
  </si>
  <si>
    <t>Time 1 (Casa)</t>
  </si>
  <si>
    <t>CASA</t>
  </si>
  <si>
    <t>% DOS PALPITES</t>
  </si>
  <si>
    <t>% DE GOLS</t>
  </si>
  <si>
    <t>Time 2 (Fora)</t>
  </si>
  <si>
    <t>AMBOS</t>
  </si>
  <si>
    <t>FORA</t>
  </si>
  <si>
    <t>EMPATE</t>
  </si>
  <si>
    <t>ACIMA UM E MEIO</t>
  </si>
  <si>
    <t>CASA OU EMPATE</t>
  </si>
  <si>
    <t>ACIMA DOIS E MEIO</t>
  </si>
  <si>
    <t>EMPATE OU FORA</t>
  </si>
  <si>
    <t>ABAIXO DOIS E MEIO</t>
  </si>
  <si>
    <t>CASA OU FORA</t>
  </si>
  <si>
    <t>ABAIXO TRÊS E MEIO</t>
  </si>
  <si>
    <t>PARÂMETROS</t>
  </si>
  <si>
    <t>α</t>
  </si>
  <si>
    <t>DISTÂNCIA DE FINETTI       [0,2]</t>
  </si>
  <si>
    <t>β</t>
  </si>
  <si>
    <t>CASA (alpha e beta)</t>
  </si>
  <si>
    <t>FORA (alpha e beta)</t>
  </si>
  <si>
    <t>ACIMA DE MEIO</t>
  </si>
  <si>
    <t>% Empates</t>
  </si>
  <si>
    <t>di²</t>
  </si>
  <si>
    <t>Soma xi</t>
  </si>
  <si>
    <t>Soma yi</t>
  </si>
  <si>
    <t>0 x 0</t>
  </si>
  <si>
    <t>1 x 1</t>
  </si>
  <si>
    <t>2 x 2</t>
  </si>
  <si>
    <t xml:space="preserve"> xi²</t>
  </si>
  <si>
    <t>soma xi*yi</t>
  </si>
  <si>
    <t>3 x 3</t>
  </si>
  <si>
    <t>4 x 4</t>
  </si>
  <si>
    <t>5 x 5</t>
  </si>
  <si>
    <t>yi²</t>
  </si>
  <si>
    <t>soma xi^2</t>
  </si>
  <si>
    <t>soma yi^2</t>
  </si>
  <si>
    <t>r(pearson)</t>
  </si>
  <si>
    <t>α (spearman)</t>
  </si>
  <si>
    <t>Média de gols visitante</t>
  </si>
  <si>
    <t>Média de gols  mandantes</t>
  </si>
  <si>
    <t>Fator mando de Campo Geral</t>
  </si>
  <si>
    <t>Média de Gols Marcados Time 1</t>
  </si>
  <si>
    <t xml:space="preserve">Média de gols marcados Time 2 </t>
  </si>
  <si>
    <t>Média de gols sofridos Time 1</t>
  </si>
  <si>
    <t>Média de gols sofridos Time 2</t>
  </si>
  <si>
    <t>Fator Mandante (home factor)</t>
  </si>
  <si>
    <t>Fator Visitante (away factor)</t>
  </si>
  <si>
    <t>Casa (1)</t>
  </si>
  <si>
    <t>Fora (2)</t>
  </si>
  <si>
    <t>EMPATE (X)</t>
  </si>
  <si>
    <t>CASA (1)</t>
  </si>
  <si>
    <t>FORA (2)</t>
  </si>
  <si>
    <t>CASA OU EMPATE (1X)</t>
  </si>
  <si>
    <t>EMPATE OU FORA (X2)</t>
  </si>
  <si>
    <t>CASA OU FORA (1_2)</t>
  </si>
  <si>
    <t>ACIMA DE MEIIO (+0,5)</t>
  </si>
  <si>
    <t>ACIMA UM E MEIO (+1,5)</t>
  </si>
  <si>
    <t>ACIMA DOIS E MEIO (+2,5)</t>
  </si>
  <si>
    <t>ABAIXO DOIS E MEIO (-2,5)</t>
  </si>
  <si>
    <t>ABAIXO TRÊS E MEIO (-3,5)</t>
  </si>
  <si>
    <t>SIM</t>
  </si>
  <si>
    <t>NÃO</t>
  </si>
  <si>
    <t>MERCADO DUPLA CHANCE</t>
  </si>
  <si>
    <t>MERCADO (1, X e 2)</t>
  </si>
  <si>
    <t>MERCADO DE GOLS</t>
  </si>
  <si>
    <t>MERCADO AMBOS (BTTS)</t>
  </si>
  <si>
    <t>DISTÂNCIA</t>
  </si>
  <si>
    <t>PRECISÃO</t>
  </si>
  <si>
    <t>PONTUAÇÃO</t>
  </si>
  <si>
    <t>Brighton</t>
  </si>
  <si>
    <t>Chelsea</t>
  </si>
  <si>
    <t>2022/2023</t>
  </si>
  <si>
    <t>2023/2024</t>
  </si>
  <si>
    <t>2024/2025</t>
  </si>
  <si>
    <t>2025/2026</t>
  </si>
  <si>
    <t>Casa (_1)</t>
  </si>
  <si>
    <t>Fora (_2)</t>
  </si>
  <si>
    <t>DISTÂNCIA DE FINETTI (MEDIAS) [0,2]</t>
  </si>
  <si>
    <t>DISTÂNCIA DE FINETTI   MEDIAS    [0,2]</t>
  </si>
  <si>
    <t>MEDIAS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</si>
</sst>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0"/>
  </numFmts>
  <fonts count="3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A6"/>
        <bgColor rgb="FFE8F2A1"/>
      </patternFill>
    </fill>
    <fill>
      <patternFill patternType="solid">
        <fgColor rgb="FFE8F2A1"/>
        <bgColor rgb="FFFFFFA6"/>
      </patternFill>
    </fill>
    <fill>
      <patternFill patternType="solid">
        <fgColor rgb="FFFFD8CE"/>
        <bgColor rgb="FFF6F9D4"/>
      </patternFill>
    </fill>
    <fill>
      <patternFill patternType="solid">
        <fgColor rgb="FFF6F9D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0" fontId="0" fillId="6" borderId="1" xfId="0" applyNumberFormat="1" applyFill="1" applyBorder="1"/>
    <xf numFmtId="10" fontId="0" fillId="5" borderId="1" xfId="0" applyNumberFormat="1" applyFill="1" applyBorder="1"/>
    <xf numFmtId="10" fontId="0" fillId="6" borderId="1" xfId="0" applyNumberFormat="1" applyFill="1" applyBorder="1" applyAlignment="1">
      <alignment horizontal="center" vertical="center"/>
    </xf>
    <xf numFmtId="0" fontId="0" fillId="3" borderId="1" xfId="0" applyFill="1" applyBorder="1"/>
    <xf numFmtId="10" fontId="0" fillId="7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10" fontId="0" fillId="8" borderId="1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0" fontId="0" fillId="0" borderId="1" xfId="1" applyNumberFormat="1" applyFont="1" applyBorder="1"/>
    <xf numFmtId="0" fontId="0" fillId="8" borderId="1" xfId="0" applyFill="1" applyBorder="1"/>
    <xf numFmtId="0" fontId="1" fillId="0" borderId="0" xfId="0" applyFont="1" applyAlignment="1">
      <alignment vertical="center"/>
    </xf>
    <xf numFmtId="10" fontId="0" fillId="11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0" fontId="0" fillId="13" borderId="1" xfId="0" applyNumberFormat="1" applyFill="1" applyBorder="1"/>
    <xf numFmtId="0" fontId="0" fillId="14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2A1"/>
      <rgbColor rgb="FFFFFFA6"/>
      <rgbColor rgb="FF99CCFF"/>
      <rgbColor rgb="FFFF99CC"/>
      <rgbColor rgb="FFCC99FF"/>
      <rgbColor rgb="FFFFD8CE"/>
      <rgbColor rgb="FF3366FF"/>
      <rgbColor rgb="FF33CCCC"/>
      <rgbColor rgb="FF99CC00"/>
      <rgbColor rgb="FFFFBF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MERCADO RESULTADO</a:t>
            </a:r>
            <a:r>
              <a:rPr lang="pt-BR" sz="1200" baseline="0"/>
              <a:t> (1, X e 2)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016765423199296"/>
          <c:y val="0.21188767619854412"/>
          <c:w val="0.60549358961500155"/>
          <c:h val="0.616256562810902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Planilha1!$U$5:$U$7</c:f>
              <c:strCache>
                <c:ptCount val="3"/>
                <c:pt idx="0">
                  <c:v>CASA (1)</c:v>
                </c:pt>
                <c:pt idx="1">
                  <c:v>EMPATE (X)</c:v>
                </c:pt>
                <c:pt idx="2">
                  <c:v>FORA (2)</c:v>
                </c:pt>
              </c:strCache>
            </c:strRef>
          </c:cat>
          <c:val>
            <c:numRef>
              <c:f>Planilha1!$V$5:$V$7</c:f>
              <c:numCache>
                <c:formatCode>0.00%</c:formatCode>
                <c:ptCount val="3"/>
                <c:pt idx="0">
                  <c:v>0.46987807553283145</c:v>
                </c:pt>
                <c:pt idx="1">
                  <c:v>0.37713657730533495</c:v>
                </c:pt>
                <c:pt idx="2">
                  <c:v>0.15260958042122538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5-40B1-9EFB-4FFECC82A6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94292880"/>
        <c:axId val="2094297200"/>
      </c:barChart>
      <c:catAx>
        <c:axId val="2094292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97200"/>
        <c:crosses val="autoZero"/>
        <c:auto val="1"/>
        <c:lblAlgn val="ctr"/>
        <c:lblOffset val="100"/>
        <c:noMultiLvlLbl val="0"/>
      </c:catAx>
      <c:valAx>
        <c:axId val="2094297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9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MERCADO</a:t>
            </a:r>
            <a:r>
              <a:rPr lang="pt-BR" sz="1400" baseline="0"/>
              <a:t> DUPLA CHANCE</a:t>
            </a:r>
            <a:endParaRPr lang="pt-BR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4807829301272412"/>
          <c:y val="0.22174404499002884"/>
          <c:w val="0.44304911438965128"/>
          <c:h val="0.6084324668956563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Planilha1!$U$12:$U$14</c:f>
              <c:strCache>
                <c:ptCount val="3"/>
                <c:pt idx="0">
                  <c:v>CASA OU EMPATE (1X)</c:v>
                </c:pt>
                <c:pt idx="1">
                  <c:v>EMPATE OU FORA (X2)</c:v>
                </c:pt>
                <c:pt idx="2">
                  <c:v>CASA OU FORA (1_2)</c:v>
                </c:pt>
              </c:strCache>
            </c:strRef>
          </c:cat>
          <c:val>
            <c:numRef>
              <c:f>Planilha1!$V$12:$V$14</c:f>
              <c:numCache>
                <c:formatCode>0.00%</c:formatCode>
                <c:ptCount val="3"/>
                <c:pt idx="0">
                  <c:v>0.84701465283816635</c:v>
                </c:pt>
                <c:pt idx="1">
                  <c:v>0.52974615772656031</c:v>
                </c:pt>
                <c:pt idx="2">
                  <c:v>0.62248765595405686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9-44CD-8619-7DC9CAEB35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94317360"/>
        <c:axId val="2094320720"/>
      </c:barChart>
      <c:catAx>
        <c:axId val="209431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320720"/>
        <c:crosses val="autoZero"/>
        <c:auto val="1"/>
        <c:lblAlgn val="ctr"/>
        <c:lblOffset val="100"/>
        <c:noMultiLvlLbl val="0"/>
      </c:catAx>
      <c:valAx>
        <c:axId val="20943207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31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MERCADO</a:t>
            </a:r>
            <a:r>
              <a:rPr lang="pt-BR" baseline="0"/>
              <a:t> DE GOLS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4283954634863365"/>
          <c:y val="0.1760331360795222"/>
          <c:w val="0.46994221557630383"/>
          <c:h val="0.6873638527883079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Planilha1!$X$6:$X$10</c:f>
              <c:strCache>
                <c:ptCount val="5"/>
                <c:pt idx="0">
                  <c:v>ACIMA DE MEIIO (+0,5)</c:v>
                </c:pt>
                <c:pt idx="1">
                  <c:v>ACIMA UM E MEIO (+1,5)</c:v>
                </c:pt>
                <c:pt idx="2">
                  <c:v>ACIMA DOIS E MEIO (+2,5)</c:v>
                </c:pt>
                <c:pt idx="3">
                  <c:v>ABAIXO DOIS E MEIO (-2,5)</c:v>
                </c:pt>
                <c:pt idx="4">
                  <c:v>ABAIXO TRÊS E MEIO (-3,5)</c:v>
                </c:pt>
              </c:strCache>
            </c:strRef>
          </c:cat>
          <c:val>
            <c:numRef>
              <c:f>Planilha1!$Y$6:$Y$10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FF50-4E62-B681-305192119017}"/>
            </c:ext>
          </c:extLst>
        </c:ser>
        <c:ser>
          <c:idx val="1"/>
          <c:order val="1"/>
          <c:spPr>
            <a:solidFill>
              <a:schemeClr val="accent1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3"/>
              <c:layout>
                <c:manualLayout>
                  <c:x val="1.008122367089830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50-4E62-B681-305192119017}"/>
                </c:ext>
              </c:extLst>
            </c:dLbl>
            <c:dLbl>
              <c:idx val="4"/>
              <c:layout>
                <c:manualLayout>
                  <c:x val="3.9256659877211306E-4"/>
                  <c:y val="-5.490199129954742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BA-4DE8-93D4-EF8848539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Planilha1!$X$6:$X$10</c:f>
              <c:strCache>
                <c:ptCount val="5"/>
                <c:pt idx="0">
                  <c:v>ACIMA DE MEIIO (+0,5)</c:v>
                </c:pt>
                <c:pt idx="1">
                  <c:v>ACIMA UM E MEIO (+1,5)</c:v>
                </c:pt>
                <c:pt idx="2">
                  <c:v>ACIMA DOIS E MEIO (+2,5)</c:v>
                </c:pt>
                <c:pt idx="3">
                  <c:v>ABAIXO DOIS E MEIO (-2,5)</c:v>
                </c:pt>
                <c:pt idx="4">
                  <c:v>ABAIXO TRÊS E MEIO (-3,5)</c:v>
                </c:pt>
              </c:strCache>
            </c:strRef>
          </c:cat>
          <c:val>
            <c:numRef>
              <c:f>Planilha1!$Z$6:$Z$10</c:f>
              <c:numCache>
                <c:formatCode>0.00%</c:formatCode>
                <c:ptCount val="5"/>
                <c:pt idx="0">
                  <c:v>0.72835357550336366</c:v>
                </c:pt>
                <c:pt idx="1">
                  <c:v>0.3744435075926919</c:v>
                </c:pt>
                <c:pt idx="2">
                  <c:v>0.14358120717908793</c:v>
                </c:pt>
                <c:pt idx="3">
                  <c:v>0.85604302608030391</c:v>
                </c:pt>
                <c:pt idx="4">
                  <c:v>0.91923154345524594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0-4E62-B681-3051921190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2094274160"/>
        <c:axId val="2094264080"/>
      </c:barChart>
      <c:catAx>
        <c:axId val="209427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64080"/>
        <c:crosses val="autoZero"/>
        <c:auto val="1"/>
        <c:lblAlgn val="ctr"/>
        <c:lblOffset val="100"/>
        <c:noMultiLvlLbl val="0"/>
      </c:catAx>
      <c:valAx>
        <c:axId val="2094264080"/>
        <c:scaling>
          <c:orientation val="minMax"/>
        </c:scaling>
        <c:delete val="0"/>
        <c:axPos val="b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MERCADO</a:t>
            </a:r>
            <a:r>
              <a:rPr lang="pt-BR" sz="1200" baseline="0"/>
              <a:t> AMBAS MARCAM (BTTS)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4680954263717432E-2"/>
          <c:y val="0.30208380134247487"/>
          <c:w val="0.89078010524826223"/>
          <c:h val="0.548206880086903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Planilha1!$AB$6:$AB$7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Planilha1!$AC$6:$AC$7</c:f>
              <c:numCache>
                <c:formatCode>0.00%</c:formatCode>
                <c:ptCount val="2"/>
                <c:pt idx="0">
                  <c:v>0.19362942865730334</c:v>
                </c:pt>
                <c:pt idx="1">
                  <c:v>0.80637057134269663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7-4FB1-A1B3-0CC06D4B40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4961152"/>
        <c:axId val="84961632"/>
      </c:barChart>
      <c:catAx>
        <c:axId val="8496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961632"/>
        <c:crosses val="autoZero"/>
        <c:auto val="1"/>
        <c:lblAlgn val="ctr"/>
        <c:lblOffset val="100"/>
        <c:noMultiLvlLbl val="0"/>
      </c:catAx>
      <c:valAx>
        <c:axId val="8496163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496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485968</xdr:colOff>
      <xdr:row>14</xdr:row>
      <xdr:rowOff>106914</xdr:rowOff>
    </xdr:from>
    <xdr:to>
      <xdr:col>23</xdr:col>
      <xdr:colOff>116631</xdr:colOff>
      <xdr:row>25</xdr:row>
      <xdr:rowOff>1166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EA2EA7-F70F-9561-8E9F-D44346BD9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476250</xdr:colOff>
      <xdr:row>26</xdr:row>
      <xdr:rowOff>9719</xdr:rowOff>
    </xdr:from>
    <xdr:to>
      <xdr:col>22</xdr:col>
      <xdr:colOff>633705</xdr:colOff>
      <xdr:row>35</xdr:row>
      <xdr:rowOff>146955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0672D4-0EB1-4B8E-FE90-B8168A086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427653</xdr:colOff>
      <xdr:row>12</xdr:row>
      <xdr:rowOff>145791</xdr:rowOff>
    </xdr:from>
    <xdr:to>
      <xdr:col>28</xdr:col>
      <xdr:colOff>505408</xdr:colOff>
      <xdr:row>27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C4CFAE-5028-FA09-7CEB-BFA5504ED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8</xdr:row>
      <xdr:rowOff>155510</xdr:rowOff>
    </xdr:from>
    <xdr:to>
      <xdr:col>33</xdr:col>
      <xdr:colOff>330459</xdr:colOff>
      <xdr:row>22</xdr:row>
      <xdr:rowOff>68036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39868EB-F640-9AA7-7623-C98863736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9720</xdr:colOff>
      <xdr:row>12</xdr:row>
      <xdr:rowOff>28011</xdr:rowOff>
    </xdr:from>
    <xdr:to>
      <xdr:col>15</xdr:col>
      <xdr:colOff>130060</xdr:colOff>
      <xdr:row>18</xdr:row>
      <xdr:rowOff>88535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B312BEA-5E5F-EB3C-EFE5-68CCBDD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1" y="2010766"/>
          <a:ext cx="3191667" cy="1051902"/>
        </a:xfrm>
        <a:prstGeom prst="rect">
          <a:avLst/>
        </a:prstGeom>
      </xdr:spPr>
    </xdr:pic>
    <xdr:clientData/>
  </xdr:twoCellAnchor>
  <xdr:twoCellAnchor editAs="oneCell">
    <xdr:from>
      <xdr:col>9</xdr:col>
      <xdr:colOff>223547</xdr:colOff>
      <xdr:row>19</xdr:row>
      <xdr:rowOff>8766</xdr:rowOff>
    </xdr:from>
    <xdr:to>
      <xdr:col>15</xdr:col>
      <xdr:colOff>514522</xdr:colOff>
      <xdr:row>28</xdr:row>
      <xdr:rowOff>58315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E6F5146-2B4C-B1B3-D64D-AA6FCD265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6914" y="3148128"/>
          <a:ext cx="4897965" cy="1536616"/>
        </a:xfrm>
        <a:prstGeom prst="rect">
          <a:avLst/>
        </a:prstGeom>
      </xdr:spPr>
    </xdr:pic>
    <xdr:clientData/>
  </xdr:twoCellAnchor>
  <xdr:twoCellAnchor editAs="oneCell">
    <xdr:from>
      <xdr:col>9</xdr:col>
      <xdr:colOff>349897</xdr:colOff>
      <xdr:row>45</xdr:row>
      <xdr:rowOff>154405</xdr:rowOff>
    </xdr:from>
    <xdr:to>
      <xdr:col>17</xdr:col>
      <xdr:colOff>283383</xdr:colOff>
      <xdr:row>57</xdr:row>
      <xdr:rowOff>142981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159D23F-8EE6-E627-BE6A-284B82BA2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9897" y="7589737"/>
          <a:ext cx="6076139" cy="1971331"/>
        </a:xfrm>
        <a:prstGeom prst="rect">
          <a:avLst/>
        </a:prstGeom>
      </xdr:spPr>
    </xdr:pic>
    <xdr:clientData/>
  </xdr:twoCellAnchor>
  <xdr:twoCellAnchor editAs="oneCell">
    <xdr:from>
      <xdr:col>10</xdr:col>
      <xdr:colOff>347296</xdr:colOff>
      <xdr:row>67</xdr:row>
      <xdr:rowOff>26556</xdr:rowOff>
    </xdr:from>
    <xdr:to>
      <xdr:col>14</xdr:col>
      <xdr:colOff>657817</xdr:colOff>
      <xdr:row>72</xdr:row>
      <xdr:rowOff>105409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6273FED-8811-EFA7-82C1-48D3E6D46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5128" y="11096939"/>
          <a:ext cx="3381847" cy="905001"/>
        </a:xfrm>
        <a:prstGeom prst="rect">
          <a:avLst/>
        </a:prstGeom>
      </xdr:spPr>
    </xdr:pic>
    <xdr:clientData/>
  </xdr:twoCellAnchor>
  <xdr:twoCellAnchor editAs="oneCell">
    <xdr:from>
      <xdr:col>10</xdr:col>
      <xdr:colOff>165229</xdr:colOff>
      <xdr:row>73</xdr:row>
      <xdr:rowOff>137518</xdr:rowOff>
    </xdr:from>
    <xdr:to>
      <xdr:col>16</xdr:col>
      <xdr:colOff>417382</xdr:colOff>
      <xdr:row>84</xdr:row>
      <xdr:rowOff>125204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FBE484F3-5E50-0CB7-C65A-281E5C732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061" y="12199278"/>
          <a:ext cx="4859142" cy="1805212"/>
        </a:xfrm>
        <a:prstGeom prst="rect">
          <a:avLst/>
        </a:prstGeom>
      </xdr:spPr>
    </xdr:pic>
    <xdr:clientData/>
  </xdr:twoCellAnchor>
  <xdr:twoCellAnchor editAs="oneCell">
    <xdr:from>
      <xdr:col>10</xdr:col>
      <xdr:colOff>316835</xdr:colOff>
      <xdr:row>38</xdr:row>
      <xdr:rowOff>122451</xdr:rowOff>
    </xdr:from>
    <xdr:to>
      <xdr:col>14</xdr:col>
      <xdr:colOff>608303</xdr:colOff>
      <xdr:row>45</xdr:row>
      <xdr:rowOff>42318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25AAE284-6C7B-601E-34BC-914E7BAE6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4667" y="6401175"/>
          <a:ext cx="3362794" cy="1076475"/>
        </a:xfrm>
        <a:prstGeom prst="rect">
          <a:avLst/>
        </a:prstGeom>
      </xdr:spPr>
    </xdr:pic>
    <xdr:clientData/>
  </xdr:twoCellAnchor>
  <xdr:twoCellAnchor editAs="oneCell">
    <xdr:from>
      <xdr:col>7</xdr:col>
      <xdr:colOff>233265</xdr:colOff>
      <xdr:row>99</xdr:row>
      <xdr:rowOff>68035</xdr:rowOff>
    </xdr:from>
    <xdr:to>
      <xdr:col>11</xdr:col>
      <xdr:colOff>465258</xdr:colOff>
      <xdr:row>103</xdr:row>
      <xdr:rowOff>35855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970932-7243-AC45-9FB6-01D95A9E7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969" y="16425765"/>
          <a:ext cx="3419952" cy="628738"/>
        </a:xfrm>
        <a:prstGeom prst="rect">
          <a:avLst/>
        </a:prstGeom>
      </xdr:spPr>
    </xdr:pic>
    <xdr:clientData/>
  </xdr:twoCellAnchor>
  <xdr:twoCellAnchor editAs="oneCell">
    <xdr:from>
      <xdr:col>10</xdr:col>
      <xdr:colOff>572436</xdr:colOff>
      <xdr:row>97</xdr:row>
      <xdr:rowOff>29157</xdr:rowOff>
    </xdr:from>
    <xdr:to>
      <xdr:col>16</xdr:col>
      <xdr:colOff>303544</xdr:colOff>
      <xdr:row>105</xdr:row>
      <xdr:rowOff>114926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39715AB-7CDF-6C3B-E4EB-03E0B89C0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0268" y="16056427"/>
          <a:ext cx="4338097" cy="1407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23"/>
  <sheetViews>
    <sheetView topLeftCell="E1" zoomScale="98" zoomScaleNormal="98" workbookViewId="0">
      <selection activeCell="M22" sqref="M22"/>
    </sheetView>
  </sheetViews>
  <sheetFormatPr defaultColWidth="11.5703125" defaultRowHeight="12.75" x14ac:dyDescent="0.2"/>
  <cols>
    <col min="1" max="1" width="13.42578125" customWidth="1"/>
    <col min="2" max="2" width="16.28515625" customWidth="1"/>
    <col min="4" max="4" width="13.5703125" customWidth="1"/>
    <col min="6" max="6" width="11.7109375" customWidth="1"/>
    <col min="19" max="19" width="12" customWidth="1"/>
    <col min="21" max="21" width="21.5703125" customWidth="1"/>
    <col min="23" max="23" width="10.140625" customWidth="1"/>
    <col min="25" max="25" width="13.7109375" customWidth="1"/>
    <col min="27" max="27" width="10.42578125" customWidth="1"/>
    <col min="29" max="29" width="14.28515625" customWidth="1"/>
  </cols>
  <sheetData>
    <row r="2" spans="1:29" x14ac:dyDescent="0.2">
      <c r="Y2" s="14"/>
    </row>
    <row r="3" spans="1:29" x14ac:dyDescent="0.2">
      <c r="B3" s="2" t="s">
        <v>0</v>
      </c>
      <c r="Y3" s="14"/>
    </row>
    <row r="4" spans="1:29" x14ac:dyDescent="0.2">
      <c r="A4" s="3" t="s">
        <v>1</v>
      </c>
      <c r="B4" s="4">
        <f>C18*C20*C23</f>
        <v>0.91391465820420803</v>
      </c>
      <c r="N4" s="32" t="s">
        <v>2</v>
      </c>
      <c r="O4" s="32"/>
      <c r="P4" s="32"/>
      <c r="Q4" s="32"/>
      <c r="R4" s="32"/>
      <c r="S4" s="32"/>
      <c r="U4" s="29" t="s">
        <v>65</v>
      </c>
      <c r="V4" s="29"/>
    </row>
    <row r="5" spans="1:29" x14ac:dyDescent="0.2">
      <c r="A5" s="3" t="s">
        <v>5</v>
      </c>
      <c r="B5" s="4">
        <f>C19*C21*C22</f>
        <v>0.39072356119719465</v>
      </c>
      <c r="D5" s="34"/>
      <c r="E5" s="34"/>
      <c r="F5" s="34"/>
      <c r="G5" s="34"/>
      <c r="H5" s="34"/>
      <c r="I5" s="34"/>
      <c r="N5" s="4">
        <v>0</v>
      </c>
      <c r="O5" s="4">
        <v>1</v>
      </c>
      <c r="P5" s="4">
        <v>2</v>
      </c>
      <c r="Q5" s="4">
        <v>3</v>
      </c>
      <c r="R5" s="4">
        <v>4</v>
      </c>
      <c r="S5" s="4">
        <v>5</v>
      </c>
      <c r="U5" s="4" t="s">
        <v>52</v>
      </c>
      <c r="V5" s="5">
        <f>SUM(O6,P6,P7,Q6,Q7,Q8,R6,R7,R8,R9,S6,S7,S8,S9,S10)</f>
        <v>0.46987807553283145</v>
      </c>
      <c r="X5" s="33" t="s">
        <v>66</v>
      </c>
      <c r="Y5" s="33"/>
      <c r="Z5" s="33"/>
      <c r="AB5" s="37" t="s">
        <v>67</v>
      </c>
      <c r="AC5" s="37"/>
    </row>
    <row r="6" spans="1:29" x14ac:dyDescent="0.2">
      <c r="L6" s="32" t="s">
        <v>7</v>
      </c>
      <c r="M6" s="4">
        <v>0</v>
      </c>
      <c r="N6" s="7">
        <f>E8*E9</f>
        <v>0.27127065775602804</v>
      </c>
      <c r="O6" s="27">
        <f>F8*$E$9</f>
        <v>0.24791823046393111</v>
      </c>
      <c r="P6" s="27">
        <f>G8*$E$9</f>
        <v>0.11328805242851783</v>
      </c>
      <c r="Q6" s="27">
        <f>H8*$E$9</f>
        <v>3.4511870571276422E-2</v>
      </c>
      <c r="R6" s="27">
        <f>I8*$E$9</f>
        <v>7.8852260992839911E-3</v>
      </c>
      <c r="S6" s="27">
        <f>J8*$E$9</f>
        <v>1.4412847430780055E-3</v>
      </c>
      <c r="U6" s="4" t="s">
        <v>51</v>
      </c>
      <c r="V6" s="5">
        <f>SUM(N6,O7,P8,Q9,R10,S11)</f>
        <v>0.37713657730533495</v>
      </c>
      <c r="X6" s="38" t="s">
        <v>57</v>
      </c>
      <c r="Y6" s="39"/>
      <c r="Z6" s="9">
        <f>SUM(N6:S11)-N6</f>
        <v>0.72835357550336366</v>
      </c>
      <c r="AB6" s="17" t="s">
        <v>62</v>
      </c>
      <c r="AC6" s="5">
        <f>SUM(O7:S11)</f>
        <v>0.19362942865730334</v>
      </c>
    </row>
    <row r="7" spans="1:29" x14ac:dyDescent="0.2">
      <c r="E7" s="6">
        <v>0</v>
      </c>
      <c r="F7" s="6">
        <v>1</v>
      </c>
      <c r="G7" s="6">
        <v>2</v>
      </c>
      <c r="H7" s="6">
        <v>3</v>
      </c>
      <c r="I7" s="6">
        <v>4</v>
      </c>
      <c r="J7" s="6">
        <v>5</v>
      </c>
      <c r="L7" s="32"/>
      <c r="M7" s="4">
        <v>1</v>
      </c>
      <c r="N7" s="11">
        <f>$E$8*F9</f>
        <v>0.10599183744674068</v>
      </c>
      <c r="O7" s="7">
        <f>F8*F9</f>
        <v>9.6867493892573986E-2</v>
      </c>
      <c r="P7" s="27">
        <f>G8*$F$9</f>
        <v>4.4264311285964981E-2</v>
      </c>
      <c r="Q7" s="27">
        <f>H8*$F$9</f>
        <v>1.3484600973185785E-2</v>
      </c>
      <c r="R7" s="27">
        <f>I8*$F$9</f>
        <v>3.0809436223573051E-3</v>
      </c>
      <c r="S7" s="27">
        <f>J8*$F$9</f>
        <v>5.6314390751462204E-4</v>
      </c>
      <c r="U7" s="4" t="s">
        <v>53</v>
      </c>
      <c r="V7" s="5">
        <f>SUM(N7,N8,N9,N10,N11,O8,O9,O10,O11,P9,P10,P11,Q10,Q11,R11)</f>
        <v>0.15260958042122538</v>
      </c>
      <c r="X7" s="38" t="s">
        <v>58</v>
      </c>
      <c r="Y7" s="39"/>
      <c r="Z7" s="5">
        <f>SUM(O7,O8,O9,O10,O11,N8,N9,N10,N11,P6,P7,P8,P9,P10,P11,Q6,Q7,Q8,Q9,Q10,Q11,R6,R7,R8,R9,R10,R11,S6,S7,S8,S9,S10,S11)</f>
        <v>0.3744435075926919</v>
      </c>
      <c r="AB7" s="17" t="s">
        <v>63</v>
      </c>
      <c r="AC7" s="19">
        <f>1-AC6</f>
        <v>0.80637057134269663</v>
      </c>
    </row>
    <row r="8" spans="1:29" x14ac:dyDescent="0.2">
      <c r="D8" s="10" t="s">
        <v>49</v>
      </c>
      <c r="E8" s="1">
        <f t="shared" ref="E8:J8" si="0">(EXP(-$B$4)*($B$4^E7))/FACT(E7)</f>
        <v>0.40095155950803807</v>
      </c>
      <c r="F8" s="1">
        <f t="shared" si="0"/>
        <v>0.36643550746423281</v>
      </c>
      <c r="G8" s="1">
        <f t="shared" si="0"/>
        <v>0.16744539077902992</v>
      </c>
      <c r="H8" s="1">
        <f t="shared" si="0"/>
        <v>5.1010265693895725E-2</v>
      </c>
      <c r="I8" s="1">
        <f t="shared" si="0"/>
        <v>1.165475738413564E-2</v>
      </c>
      <c r="J8" s="1">
        <f t="shared" si="0"/>
        <v>2.1302907222350582E-3</v>
      </c>
      <c r="L8" s="32"/>
      <c r="M8" s="4">
        <v>2</v>
      </c>
      <c r="N8" s="11">
        <f>$E$8*G9</f>
        <v>2.0706754092512342E-2</v>
      </c>
      <c r="O8" s="11">
        <f>G9*F8</f>
        <v>1.8924206088977005E-2</v>
      </c>
      <c r="P8" s="7">
        <f>G8*G9</f>
        <v>8.647554669796706E-3</v>
      </c>
      <c r="Q8" s="27">
        <f>H8*$G$9</f>
        <v>2.634375656783153E-3</v>
      </c>
      <c r="R8" s="27">
        <f>I8*$G$9</f>
        <v>6.0189863198761547E-4</v>
      </c>
      <c r="S8" s="27">
        <f>J8*$G$9</f>
        <v>1.1001679650530838E-4</v>
      </c>
      <c r="X8" s="38" t="s">
        <v>59</v>
      </c>
      <c r="Y8" s="39"/>
      <c r="Z8" s="5">
        <f>SUM(N9,N10,N11,O8,O9,O10,O11,P7,P8,P9,P10,P11,Q6,Q7,Q8,Q9,Q10,Q11,R6,R7,R8,R9,R10,R11,S6,S7,S8,S9,S10,S11)</f>
        <v>0.14358120717908793</v>
      </c>
    </row>
    <row r="9" spans="1:29" x14ac:dyDescent="0.2">
      <c r="D9" s="10" t="s">
        <v>50</v>
      </c>
      <c r="E9" s="1">
        <f t="shared" ref="E9:J9" si="1">(EXP(-$B$5)*($B$5^E7))/FACT(E7)</f>
        <v>0.67656715960619618</v>
      </c>
      <c r="F9" s="1">
        <f t="shared" si="1"/>
        <v>0.26435072999040377</v>
      </c>
      <c r="G9" s="1">
        <f t="shared" si="1"/>
        <v>5.1644029313464297E-2</v>
      </c>
      <c r="H9" s="1">
        <f t="shared" si="1"/>
        <v>6.7261796826430268E-3</v>
      </c>
      <c r="I9" s="1">
        <f t="shared" si="1"/>
        <v>6.5701921971362501E-4</v>
      </c>
      <c r="J9" s="1">
        <f t="shared" si="1"/>
        <v>5.1342577860301924E-5</v>
      </c>
      <c r="L9" s="32"/>
      <c r="M9" s="4">
        <v>3</v>
      </c>
      <c r="N9" s="11">
        <f>$E$8*H9</f>
        <v>2.696872233287002E-3</v>
      </c>
      <c r="O9" s="11">
        <f>H9*F8</f>
        <v>2.46471106530491E-3</v>
      </c>
      <c r="P9" s="11">
        <f>H9*G8</f>
        <v>1.126267785410133E-3</v>
      </c>
      <c r="Q9" s="7">
        <f>H8*H9</f>
        <v>3.4310421271650402E-4</v>
      </c>
      <c r="R9" s="27">
        <f>I8*$H$9</f>
        <v>7.8391992323306929E-5</v>
      </c>
      <c r="S9" s="27">
        <f>J8*$H$9</f>
        <v>1.4328718174020388E-5</v>
      </c>
      <c r="X9" s="38" t="s">
        <v>60</v>
      </c>
      <c r="Y9" s="39"/>
      <c r="Z9" s="5">
        <f>SUM(P6,O6,N6,N7,N8,O7)</f>
        <v>0.85604302608030391</v>
      </c>
    </row>
    <row r="10" spans="1:29" x14ac:dyDescent="0.2">
      <c r="L10" s="32"/>
      <c r="M10" s="4">
        <v>4</v>
      </c>
      <c r="N10" s="11">
        <f>E8*I9</f>
        <v>2.6343288077093228E-4</v>
      </c>
      <c r="O10" s="11">
        <f>I9*F8</f>
        <v>2.4075517118951647E-4</v>
      </c>
      <c r="P10" s="11">
        <f>I9*G8</f>
        <v>1.1001483999428127E-4</v>
      </c>
      <c r="Q10" s="11">
        <f>I9*H8</f>
        <v>3.3514724963588061E-5</v>
      </c>
      <c r="R10" s="7">
        <f>I8*I9</f>
        <v>7.6573996024764067E-6</v>
      </c>
      <c r="S10" s="27">
        <f>J8*$I$9</f>
        <v>1.3996419480860526E-6</v>
      </c>
      <c r="X10" s="31" t="s">
        <v>61</v>
      </c>
      <c r="Y10" s="31"/>
      <c r="Z10" s="5">
        <f>SUM(N6,O6,P6,P7,O7,N7,N8,O8)</f>
        <v>0.91923154345524594</v>
      </c>
    </row>
    <row r="11" spans="1:29" x14ac:dyDescent="0.2">
      <c r="L11" s="32"/>
      <c r="M11" s="4">
        <v>5</v>
      </c>
      <c r="N11" s="11">
        <f>E8*J9</f>
        <v>2.0585886662250925E-5</v>
      </c>
      <c r="O11" s="11">
        <f>J9*F8</f>
        <v>1.8813743572761619E-5</v>
      </c>
      <c r="P11" s="11">
        <f>J9*G8</f>
        <v>8.5970780134210262E-6</v>
      </c>
      <c r="Q11" s="11">
        <f>J9*H8</f>
        <v>2.6189985380635294E-6</v>
      </c>
      <c r="R11" s="11">
        <f>J9*I8</f>
        <v>5.9838528843791292E-7</v>
      </c>
      <c r="S11" s="7">
        <f>J8*J9</f>
        <v>1.0937461727143229E-7</v>
      </c>
      <c r="U11" s="29" t="s">
        <v>64</v>
      </c>
      <c r="V11" s="29"/>
    </row>
    <row r="12" spans="1:29" x14ac:dyDescent="0.2">
      <c r="U12" s="4" t="s">
        <v>54</v>
      </c>
      <c r="V12" s="5">
        <f>V5+V6</f>
        <v>0.84701465283816635</v>
      </c>
    </row>
    <row r="13" spans="1:29" x14ac:dyDescent="0.2">
      <c r="U13" s="4" t="s">
        <v>55</v>
      </c>
      <c r="V13" s="5">
        <f>V6+V7</f>
        <v>0.52974615772656031</v>
      </c>
    </row>
    <row r="14" spans="1:29" x14ac:dyDescent="0.2">
      <c r="U14" s="4" t="s">
        <v>56</v>
      </c>
      <c r="V14" s="5">
        <f>V5+V7</f>
        <v>0.62248765595405686</v>
      </c>
    </row>
    <row r="15" spans="1:29" x14ac:dyDescent="0.2">
      <c r="A15" s="28" t="s">
        <v>41</v>
      </c>
      <c r="B15" s="28"/>
      <c r="C15" s="4">
        <v>1.63</v>
      </c>
      <c r="Q15" s="29" t="s">
        <v>18</v>
      </c>
      <c r="R15" s="29"/>
      <c r="S15" s="29"/>
    </row>
    <row r="16" spans="1:29" x14ac:dyDescent="0.2">
      <c r="A16" s="28" t="s">
        <v>40</v>
      </c>
      <c r="B16" s="28"/>
      <c r="C16" s="4">
        <v>1.31</v>
      </c>
      <c r="Q16" s="31" t="s">
        <v>2</v>
      </c>
      <c r="R16" s="31"/>
      <c r="S16" s="12">
        <f>(V5-1)^2+(V6-0)^2+(V7-0)^2</f>
        <v>0.44655093677869973</v>
      </c>
    </row>
    <row r="17" spans="1:19" x14ac:dyDescent="0.2">
      <c r="A17" s="28" t="s">
        <v>42</v>
      </c>
      <c r="B17" s="28"/>
      <c r="C17" s="4">
        <f>LN(C15/C16)</f>
        <v>0.21855287760561076</v>
      </c>
      <c r="Q17" s="31" t="s">
        <v>8</v>
      </c>
      <c r="R17" s="31"/>
      <c r="S17" s="12">
        <f>(V5-0)^2+(V6-1)^2+(V6-0)^2</f>
        <v>0.75097624713893307</v>
      </c>
    </row>
    <row r="18" spans="1:19" x14ac:dyDescent="0.2">
      <c r="A18" s="28" t="s">
        <v>47</v>
      </c>
      <c r="B18" s="28"/>
      <c r="C18" s="4">
        <f>SQRT(1+C17)*SQRT(1+C17)</f>
        <v>1.2185528776056107</v>
      </c>
      <c r="Q18" s="31" t="s">
        <v>7</v>
      </c>
      <c r="R18" s="31"/>
      <c r="S18" s="12">
        <f>(V5-0)^2+(V6-0)^2+(V7-1)^2</f>
        <v>1.0810879270019118</v>
      </c>
    </row>
    <row r="19" spans="1:19" x14ac:dyDescent="0.2">
      <c r="A19" s="28" t="s">
        <v>48</v>
      </c>
      <c r="B19" s="28"/>
      <c r="C19" s="4">
        <f>SQRT(1-C17)*SQRT(1-C17)</f>
        <v>0.78144712239438929</v>
      </c>
    </row>
    <row r="20" spans="1:19" x14ac:dyDescent="0.2">
      <c r="A20" s="28" t="s">
        <v>43</v>
      </c>
      <c r="B20" s="28"/>
      <c r="C20" s="4">
        <v>1.5</v>
      </c>
      <c r="P20" s="29" t="s">
        <v>16</v>
      </c>
      <c r="Q20" s="29"/>
      <c r="R20" s="29"/>
      <c r="S20" s="29"/>
    </row>
    <row r="21" spans="1:19" x14ac:dyDescent="0.2">
      <c r="A21" s="28" t="s">
        <v>44</v>
      </c>
      <c r="B21" s="28"/>
      <c r="C21" s="4">
        <v>1</v>
      </c>
      <c r="P21" s="1" t="s">
        <v>17</v>
      </c>
      <c r="Q21" s="4">
        <f>0.071/N6</f>
        <v>0.26173121924544845</v>
      </c>
      <c r="R21" s="5">
        <f>V5*Q22</f>
        <v>0.6803302054893331</v>
      </c>
      <c r="S21" s="4" t="s">
        <v>2</v>
      </c>
    </row>
    <row r="22" spans="1:19" x14ac:dyDescent="0.2">
      <c r="A22" s="35" t="s">
        <v>45</v>
      </c>
      <c r="B22" s="36"/>
      <c r="C22" s="4">
        <v>0.5</v>
      </c>
      <c r="P22" s="30" t="s">
        <v>19</v>
      </c>
      <c r="Q22" s="31">
        <f>(1-Q21*V6)/(V5+V7)</f>
        <v>1.4478866772361183</v>
      </c>
      <c r="R22" s="5">
        <f>Q21*V6</f>
        <v>9.8708416200180643E-2</v>
      </c>
      <c r="S22" s="4" t="s">
        <v>8</v>
      </c>
    </row>
    <row r="23" spans="1:19" x14ac:dyDescent="0.2">
      <c r="A23" s="35" t="s">
        <v>46</v>
      </c>
      <c r="B23" s="36"/>
      <c r="C23" s="4">
        <v>0.5</v>
      </c>
      <c r="P23" s="30"/>
      <c r="Q23" s="30"/>
      <c r="R23" s="5">
        <f>V7*Q22</f>
        <v>0.22096137831048621</v>
      </c>
      <c r="S23" s="4" t="s">
        <v>7</v>
      </c>
    </row>
  </sheetData>
  <mergeCells count="28">
    <mergeCell ref="AB5:AC5"/>
    <mergeCell ref="L6:L11"/>
    <mergeCell ref="X6:Y6"/>
    <mergeCell ref="X7:Y7"/>
    <mergeCell ref="X8:Y8"/>
    <mergeCell ref="X9:Y9"/>
    <mergeCell ref="X10:Y10"/>
    <mergeCell ref="N4:S4"/>
    <mergeCell ref="U4:V4"/>
    <mergeCell ref="X5:Z5"/>
    <mergeCell ref="D5:I5"/>
    <mergeCell ref="Q17:R17"/>
    <mergeCell ref="U11:V11"/>
    <mergeCell ref="A16:B16"/>
    <mergeCell ref="A17:B17"/>
    <mergeCell ref="Q15:S15"/>
    <mergeCell ref="P22:P23"/>
    <mergeCell ref="Q22:Q23"/>
    <mergeCell ref="Q16:R16"/>
    <mergeCell ref="A22:B22"/>
    <mergeCell ref="A23:B23"/>
    <mergeCell ref="A20:B20"/>
    <mergeCell ref="A21:B21"/>
    <mergeCell ref="Q18:R18"/>
    <mergeCell ref="P20:S20"/>
    <mergeCell ref="A18:B18"/>
    <mergeCell ref="A19:B19"/>
    <mergeCell ref="A15:B15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A66"/>
  <sheetViews>
    <sheetView zoomScale="90" zoomScaleNormal="90" workbookViewId="0">
      <selection activeCell="D11" sqref="D11"/>
    </sheetView>
  </sheetViews>
  <sheetFormatPr defaultColWidth="11.5703125" defaultRowHeight="12.75" x14ac:dyDescent="0.2"/>
  <cols>
    <col min="1" max="1" width="13.42578125" customWidth="1"/>
    <col min="2" max="2" width="14.5703125" customWidth="1"/>
    <col min="4" max="4" width="13.5703125" customWidth="1"/>
    <col min="6" max="6" width="11.7109375" customWidth="1"/>
    <col min="11" max="11" width="4.85546875" customWidth="1"/>
    <col min="12" max="12" width="18.85546875" customWidth="1"/>
    <col min="19" max="19" width="12" customWidth="1"/>
    <col min="21" max="21" width="20.42578125" customWidth="1"/>
  </cols>
  <sheetData>
    <row r="3" spans="1:27" x14ac:dyDescent="0.2">
      <c r="B3" s="2" t="s">
        <v>0</v>
      </c>
    </row>
    <row r="4" spans="1:27" x14ac:dyDescent="0.2">
      <c r="A4" s="3" t="s">
        <v>1</v>
      </c>
      <c r="B4" s="4">
        <v>1.2</v>
      </c>
      <c r="N4" s="32" t="s">
        <v>20</v>
      </c>
      <c r="O4" s="32"/>
      <c r="P4" s="32"/>
      <c r="Q4" s="32"/>
      <c r="R4" s="32"/>
      <c r="S4" s="32"/>
      <c r="U4" s="29" t="s">
        <v>3</v>
      </c>
      <c r="V4" s="29"/>
      <c r="X4" s="40" t="s">
        <v>4</v>
      </c>
      <c r="Y4" s="40"/>
      <c r="Z4" s="40"/>
    </row>
    <row r="5" spans="1:27" x14ac:dyDescent="0.2">
      <c r="A5" s="3" t="s">
        <v>5</v>
      </c>
      <c r="B5" s="4">
        <v>1</v>
      </c>
      <c r="D5" s="34"/>
      <c r="E5" s="34"/>
      <c r="F5" s="34"/>
      <c r="G5" s="34"/>
      <c r="H5" s="34"/>
      <c r="I5" s="34"/>
      <c r="N5" s="4">
        <v>0</v>
      </c>
      <c r="O5" s="4">
        <v>1</v>
      </c>
      <c r="P5" s="4">
        <v>2</v>
      </c>
      <c r="Q5" s="4">
        <v>3</v>
      </c>
      <c r="R5" s="4">
        <v>4</v>
      </c>
      <c r="S5" s="4">
        <v>5</v>
      </c>
      <c r="U5" s="4" t="s">
        <v>2</v>
      </c>
      <c r="V5" s="5">
        <f>SUM(O6,P6,P7,Q6,Q7,Q8,R6,R7,R8,R9,S6,S7,S8,S9,S10)</f>
        <v>0.5441552960010122</v>
      </c>
      <c r="X5" s="31" t="s">
        <v>6</v>
      </c>
      <c r="Y5" s="31"/>
      <c r="Z5" s="5">
        <f>SUM(O7:S11)</f>
        <v>0.59306456899263826</v>
      </c>
      <c r="AA5" s="13"/>
    </row>
    <row r="6" spans="1:27" x14ac:dyDescent="0.2">
      <c r="D6" s="6">
        <v>0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L6" s="32" t="s">
        <v>21</v>
      </c>
      <c r="M6" s="4">
        <v>0</v>
      </c>
      <c r="N6" s="7">
        <f>N17</f>
        <v>7.0999999999999994E-2</v>
      </c>
      <c r="O6" s="27">
        <f>E7*$D$8*$R$26</f>
        <v>0.17906913781789266</v>
      </c>
      <c r="P6" s="27">
        <f>F7*$D$8*$R$26</f>
        <v>0.10744148269073558</v>
      </c>
      <c r="Q6" s="27">
        <f>G7*$D$8*$R$26</f>
        <v>4.2976593076294242E-2</v>
      </c>
      <c r="R6" s="27">
        <f>H7*$D$8*$R$26</f>
        <v>1.2892977922888269E-2</v>
      </c>
      <c r="S6" s="27">
        <f>I7*$D$8*$R$26</f>
        <v>3.0943147014931846E-3</v>
      </c>
      <c r="U6" s="4" t="s">
        <v>8</v>
      </c>
      <c r="V6" s="5">
        <f>SUM(N6,O7,P8,Q9,R10,S11)</f>
        <v>0.31151563804527566</v>
      </c>
      <c r="X6" s="31" t="s">
        <v>22</v>
      </c>
      <c r="Y6" s="31"/>
      <c r="Z6" s="5">
        <f>SUM(N6:S11)-N6</f>
        <v>1.1947074251358725</v>
      </c>
      <c r="AA6" s="13"/>
    </row>
    <row r="7" spans="1:27" x14ac:dyDescent="0.2">
      <c r="C7" s="10" t="s">
        <v>77</v>
      </c>
      <c r="D7" s="1">
        <f t="shared" ref="D7:I7" si="0">(EXP(-$B$4)*($B$4^D6))/FACT(D6)</f>
        <v>0.30119421191220214</v>
      </c>
      <c r="E7" s="1">
        <f t="shared" si="0"/>
        <v>0.36143305429464256</v>
      </c>
      <c r="F7" s="1">
        <f t="shared" si="0"/>
        <v>0.21685983257678554</v>
      </c>
      <c r="G7" s="1">
        <f t="shared" si="0"/>
        <v>8.6743933030714218E-2</v>
      </c>
      <c r="H7" s="1">
        <f t="shared" si="0"/>
        <v>2.6023179909214263E-2</v>
      </c>
      <c r="I7" s="1">
        <f t="shared" si="0"/>
        <v>6.245563178211423E-3</v>
      </c>
      <c r="L7" s="32"/>
      <c r="M7" s="4">
        <v>1</v>
      </c>
      <c r="N7" s="11">
        <f>$D$7*E8*$R$26</f>
        <v>0.14922428151491055</v>
      </c>
      <c r="O7" s="7">
        <f>E7*E8*$R$26</f>
        <v>0.17906913781789266</v>
      </c>
      <c r="P7" s="27">
        <f>F7*$E$8*$R$26</f>
        <v>0.10744148269073558</v>
      </c>
      <c r="Q7" s="27">
        <f>G7*$E$8*$R$26</f>
        <v>4.2976593076294242E-2</v>
      </c>
      <c r="R7" s="27">
        <f>H7*$E$8*$R$26</f>
        <v>1.2892977922888269E-2</v>
      </c>
      <c r="S7" s="27">
        <f>I7*$E$8*$R$26</f>
        <v>3.0943147014931846E-3</v>
      </c>
      <c r="U7" s="4" t="s">
        <v>7</v>
      </c>
      <c r="V7" s="5">
        <f>SUM(N7,N8,N9,N10,N11,O8,O9,O10,O11,P9,P10,P11,Q10,Q11,R11)</f>
        <v>0.4100364910895844</v>
      </c>
      <c r="X7" s="30" t="s">
        <v>9</v>
      </c>
      <c r="Y7" s="30"/>
      <c r="Z7" s="5">
        <f>SUM(O7,O8,O9,O10,O11,N8,N9,N10,N11,P6,P7,P8,P9,P10,P11,Q6,Q7,Q8,Q9,Q10,Q11,R6,R7,R8,R9,R10,R11,S6,S7,S8,S9,S10,S11)</f>
        <v>0.8664140058030686</v>
      </c>
      <c r="AA7" s="13"/>
    </row>
    <row r="8" spans="1:27" x14ac:dyDescent="0.2">
      <c r="C8" s="10" t="s">
        <v>78</v>
      </c>
      <c r="D8" s="1">
        <f t="shared" ref="D8:I8" si="1">(EXP(-$B$5)*($B$5^D6))/FACT(D6)</f>
        <v>0.36787944117144233</v>
      </c>
      <c r="E8" s="1">
        <f t="shared" si="1"/>
        <v>0.36787944117144233</v>
      </c>
      <c r="F8" s="1">
        <f t="shared" si="1"/>
        <v>0.18393972058572117</v>
      </c>
      <c r="G8" s="1">
        <f t="shared" si="1"/>
        <v>6.1313240195240391E-2</v>
      </c>
      <c r="H8" s="1">
        <f t="shared" si="1"/>
        <v>1.5328310048810098E-2</v>
      </c>
      <c r="I8" s="1">
        <f t="shared" si="1"/>
        <v>3.0656620097620196E-3</v>
      </c>
      <c r="L8" s="32"/>
      <c r="M8" s="4">
        <v>2</v>
      </c>
      <c r="N8" s="11">
        <f>$D$7*F8*$R$26</f>
        <v>7.4612140757455273E-2</v>
      </c>
      <c r="O8" s="11">
        <f>F8*E7*R26</f>
        <v>8.953456890894633E-2</v>
      </c>
      <c r="P8" s="7">
        <f>F7*F8*R26</f>
        <v>5.3720741345367792E-2</v>
      </c>
      <c r="Q8" s="27">
        <f>G7*$F$8*R26</f>
        <v>2.1488296538147121E-2</v>
      </c>
      <c r="R8" s="27">
        <f>H7*$F$8*R26</f>
        <v>6.4464889614441346E-3</v>
      </c>
      <c r="S8" s="27">
        <f>I7*$F$8*R26</f>
        <v>1.5471573507465923E-3</v>
      </c>
      <c r="U8" s="4" t="s">
        <v>10</v>
      </c>
      <c r="V8" s="5">
        <f>V5+V6</f>
        <v>0.8556709340462878</v>
      </c>
      <c r="X8" s="31" t="s">
        <v>11</v>
      </c>
      <c r="Y8" s="31"/>
      <c r="Z8" s="5">
        <f>SUM(N9,N10,N11,O8,O9,O10,O11,P7,P8,P9,P10,P11,Q6,Q7,Q8,Q9,Q10,Q11,R6,R7,R8,R9,R10,R11,S6,S7,S8,S9,S10,S11)</f>
        <v>0.50529124453698548</v>
      </c>
    </row>
    <row r="9" spans="1:27" x14ac:dyDescent="0.2">
      <c r="L9" s="32"/>
      <c r="M9" s="4">
        <v>3</v>
      </c>
      <c r="N9" s="11">
        <f>$D$7*G8*R26</f>
        <v>2.4870713585818428E-2</v>
      </c>
      <c r="O9" s="11">
        <f>G8*E7*R26</f>
        <v>2.9844856302982108E-2</v>
      </c>
      <c r="P9" s="11">
        <f>G8*F7*R26</f>
        <v>1.7906913781789265E-2</v>
      </c>
      <c r="Q9" s="7">
        <f>G7*G8*R26</f>
        <v>7.1627655127157065E-3</v>
      </c>
      <c r="R9" s="27">
        <f>H7*$G$8*R26</f>
        <v>2.1488296538147117E-3</v>
      </c>
      <c r="S9" s="27">
        <f>I7*$G$8*R26</f>
        <v>5.1571911691553085E-4</v>
      </c>
      <c r="U9" s="4" t="s">
        <v>12</v>
      </c>
      <c r="V9" s="5">
        <f>V6+V7</f>
        <v>0.72155212913486011</v>
      </c>
      <c r="X9" s="31" t="s">
        <v>13</v>
      </c>
      <c r="Y9" s="31"/>
      <c r="Z9" s="5">
        <f>SUM(P6,O6,N6,N7,N8,O7)</f>
        <v>0.76041618059888672</v>
      </c>
    </row>
    <row r="10" spans="1:27" x14ac:dyDescent="0.2">
      <c r="L10" s="32"/>
      <c r="M10" s="4">
        <v>4</v>
      </c>
      <c r="N10" s="11">
        <f>D7*H8*R26</f>
        <v>6.2176783964546069E-3</v>
      </c>
      <c r="O10" s="11">
        <f>H8*E7*R26</f>
        <v>7.4612140757455269E-3</v>
      </c>
      <c r="P10" s="11">
        <f>H8*F7*R26</f>
        <v>4.4767284454473163E-3</v>
      </c>
      <c r="Q10" s="11">
        <f>H8*G7*R26</f>
        <v>1.7906913781789266E-3</v>
      </c>
      <c r="R10" s="7">
        <f>H7*H8*R26</f>
        <v>5.3720741345367792E-4</v>
      </c>
      <c r="S10" s="27">
        <f>I7*$H$8*R26</f>
        <v>1.2892977922888271E-4</v>
      </c>
      <c r="U10" s="4" t="s">
        <v>14</v>
      </c>
      <c r="V10" s="5">
        <f>V5+V7</f>
        <v>0.9541917870905966</v>
      </c>
      <c r="X10" s="31" t="s">
        <v>15</v>
      </c>
      <c r="Y10" s="31"/>
      <c r="Z10" s="5">
        <f>SUM(N6,O6,P6,P7,O7,N7,N8,O8)</f>
        <v>0.95739223219856862</v>
      </c>
    </row>
    <row r="11" spans="1:27" x14ac:dyDescent="0.2">
      <c r="L11" s="32"/>
      <c r="M11" s="4">
        <v>5</v>
      </c>
      <c r="N11" s="11">
        <f>D7*I8*R26</f>
        <v>1.2435356792909213E-3</v>
      </c>
      <c r="O11" s="11">
        <f>I8*E7*R26</f>
        <v>1.4922428151491055E-3</v>
      </c>
      <c r="P11" s="11">
        <f>I8*F7*R26</f>
        <v>8.9534568908946331E-4</v>
      </c>
      <c r="Q11" s="11">
        <f>I8*G7*R26</f>
        <v>3.5813827563578533E-4</v>
      </c>
      <c r="R11" s="11">
        <f>I8*H7*R26</f>
        <v>1.0744148269073558E-4</v>
      </c>
      <c r="S11" s="7">
        <f>I7*I8*R26</f>
        <v>2.578595584577654E-5</v>
      </c>
    </row>
    <row r="14" spans="1:27" x14ac:dyDescent="0.2">
      <c r="C14" s="29" t="s">
        <v>18</v>
      </c>
      <c r="D14" s="29"/>
      <c r="E14" s="29"/>
    </row>
    <row r="15" spans="1:27" x14ac:dyDescent="0.2">
      <c r="C15" s="31" t="s">
        <v>2</v>
      </c>
      <c r="D15" s="31"/>
      <c r="E15" s="12">
        <f>(V5-1)^2+(V6-0)^2+(V7-0)^2</f>
        <v>0.47296631093573882</v>
      </c>
    </row>
    <row r="16" spans="1:27" x14ac:dyDescent="0.2">
      <c r="C16" s="31" t="s">
        <v>8</v>
      </c>
      <c r="D16" s="31"/>
      <c r="E16" s="12">
        <f>(V5-0)^2+(V6-1)^2+(V6-0)^2</f>
        <v>0.8671576955689082</v>
      </c>
      <c r="N16" t="s">
        <v>23</v>
      </c>
      <c r="O16" s="13" t="s">
        <v>24</v>
      </c>
      <c r="Q16" t="s">
        <v>25</v>
      </c>
      <c r="R16" t="s">
        <v>26</v>
      </c>
    </row>
    <row r="17" spans="1:22" x14ac:dyDescent="0.2">
      <c r="C17" s="31" t="s">
        <v>7</v>
      </c>
      <c r="D17" s="31"/>
      <c r="E17" s="12">
        <f>(V5-0)^2+(V6-0)^2+(V7-1)^2</f>
        <v>0.74120392075859443</v>
      </c>
      <c r="M17" s="13" t="s">
        <v>27</v>
      </c>
      <c r="N17" s="14">
        <f>7.1/100</f>
        <v>7.0999999999999994E-2</v>
      </c>
      <c r="O17" s="15">
        <f>(N17-Planilha1!N6)^2</f>
        <v>4.0108336358032112E-2</v>
      </c>
      <c r="Q17">
        <f>SUM(N5,O7,P8,Q9,R10,S11)</f>
        <v>0.24051563804527559</v>
      </c>
      <c r="R17" s="16">
        <f>SUM(N17,N18,N19,N20,N21,N22)</f>
        <v>0.22899999999999998</v>
      </c>
    </row>
    <row r="18" spans="1:22" x14ac:dyDescent="0.2">
      <c r="M18" s="13" t="s">
        <v>28</v>
      </c>
      <c r="N18" s="14">
        <f>10.1/100</f>
        <v>0.10099999999999999</v>
      </c>
      <c r="O18" s="15">
        <f>(N18-Planilha1!O7)^2</f>
        <v>1.7077606727913247E-5</v>
      </c>
    </row>
    <row r="19" spans="1:22" x14ac:dyDescent="0.2">
      <c r="M19" s="13" t="s">
        <v>29</v>
      </c>
      <c r="N19" s="14">
        <f>4.5/100</f>
        <v>4.4999999999999998E-2</v>
      </c>
      <c r="O19" s="15">
        <f>(N19-Planilha1!P8)^2</f>
        <v>1.3215002814854191E-3</v>
      </c>
      <c r="Q19" t="s">
        <v>30</v>
      </c>
      <c r="R19" t="s">
        <v>31</v>
      </c>
    </row>
    <row r="20" spans="1:22" x14ac:dyDescent="0.2">
      <c r="M20" s="13" t="s">
        <v>32</v>
      </c>
      <c r="N20" s="14">
        <f>1/100</f>
        <v>0.01</v>
      </c>
      <c r="O20" s="15">
        <f>(N20-Planilha1!Q9)^2</f>
        <v>9.325563624645373E-5</v>
      </c>
      <c r="Q20">
        <f>N6^2+O7^2+P8^2+Q9^2+R10^2+S11^2</f>
        <v>4.0044268636050082E-2</v>
      </c>
      <c r="R20">
        <f>N6*N17+O7*N18+P8*N19+Q9*N20+R10*N21+S11*N22</f>
        <v>2.5617118350102774E-2</v>
      </c>
    </row>
    <row r="21" spans="1:22" x14ac:dyDescent="0.2">
      <c r="M21" s="13" t="s">
        <v>33</v>
      </c>
      <c r="N21" s="14">
        <f>0.2/100</f>
        <v>2E-3</v>
      </c>
      <c r="O21" s="15">
        <f>(N21-Planilha1!R10)^2</f>
        <v>3.9694290373587666E-6</v>
      </c>
    </row>
    <row r="22" spans="1:22" x14ac:dyDescent="0.2">
      <c r="M22" s="13" t="s">
        <v>34</v>
      </c>
      <c r="N22" s="14">
        <f>0</f>
        <v>0</v>
      </c>
      <c r="O22" s="15">
        <f>(N22-Planilha1!S11)^2</f>
        <v>1.1962806903272294E-14</v>
      </c>
      <c r="Q22" t="s">
        <v>35</v>
      </c>
      <c r="R22" t="s">
        <v>36</v>
      </c>
      <c r="S22" t="s">
        <v>37</v>
      </c>
    </row>
    <row r="23" spans="1:22" x14ac:dyDescent="0.2">
      <c r="M23" t="s">
        <v>38</v>
      </c>
      <c r="N23" s="34">
        <f>((6*R20-Q17*R17)/((SQRT(6*Q20-R23))*(SQRT(6*Q23-S23))))</f>
        <v>1.0147282191531168</v>
      </c>
      <c r="O23" s="34"/>
      <c r="Q23">
        <f>N17^2+N18^2+N19^2+N20^2+N21^2+N22^2</f>
        <v>1.7370999999999998E-2</v>
      </c>
      <c r="R23">
        <f>Q17^2</f>
        <v>5.7847772144326022E-2</v>
      </c>
      <c r="S23">
        <f>R17^2</f>
        <v>5.2440999999999995E-2</v>
      </c>
    </row>
    <row r="24" spans="1:22" x14ac:dyDescent="0.2">
      <c r="M24" t="s">
        <v>39</v>
      </c>
      <c r="N24" s="34">
        <f>1-(6*(SUM(O17:O22))/(6*((6^2)-1)))</f>
        <v>0.99881302459109877</v>
      </c>
      <c r="O24" s="34"/>
    </row>
    <row r="25" spans="1:22" x14ac:dyDescent="0.2">
      <c r="Q25" s="6" t="s">
        <v>17</v>
      </c>
      <c r="R25" s="17">
        <f>N17/Planilha1!N6</f>
        <v>0.26173121924544845</v>
      </c>
    </row>
    <row r="26" spans="1:22" x14ac:dyDescent="0.2">
      <c r="Q26" s="22" t="s">
        <v>19</v>
      </c>
      <c r="R26" s="23">
        <f>((1-R25*N6)/(1-Planilha1!N6))</f>
        <v>1.346751155115425</v>
      </c>
    </row>
    <row r="27" spans="1:22" x14ac:dyDescent="0.2">
      <c r="B27" s="13"/>
    </row>
    <row r="28" spans="1:22" x14ac:dyDescent="0.2">
      <c r="A28" s="13"/>
      <c r="B28" s="13"/>
      <c r="N28" s="20"/>
      <c r="O28" s="20"/>
      <c r="P28" s="20"/>
      <c r="Q28" s="20"/>
      <c r="R28" s="20"/>
      <c r="S28" s="20"/>
      <c r="U28" s="20"/>
      <c r="V28" s="20"/>
    </row>
    <row r="29" spans="1:22" x14ac:dyDescent="0.2">
      <c r="A29" s="13"/>
      <c r="B29" s="13"/>
      <c r="D29" s="20"/>
      <c r="E29" s="20"/>
      <c r="F29" s="20"/>
      <c r="G29" s="20"/>
      <c r="H29" s="20"/>
      <c r="I29" s="20"/>
      <c r="N29" s="13"/>
      <c r="O29" s="13"/>
      <c r="P29" s="13"/>
      <c r="Q29" s="13"/>
      <c r="R29" s="13"/>
      <c r="S29" s="13"/>
      <c r="U29" s="13"/>
      <c r="V29" s="21"/>
    </row>
    <row r="30" spans="1:22" x14ac:dyDescent="0.2">
      <c r="D30" s="18"/>
      <c r="E30" s="18"/>
      <c r="F30" s="18"/>
      <c r="G30" s="18"/>
      <c r="H30" s="18"/>
      <c r="I30" s="18"/>
      <c r="L30" s="20"/>
      <c r="M30" s="13"/>
      <c r="N30" s="14"/>
      <c r="O30" s="14"/>
      <c r="P30" s="14"/>
      <c r="Q30" s="14"/>
      <c r="R30" s="14"/>
      <c r="S30" s="14"/>
      <c r="U30" s="13"/>
      <c r="V30" s="21"/>
    </row>
    <row r="31" spans="1:22" x14ac:dyDescent="0.2">
      <c r="D31" s="18"/>
      <c r="E31" s="18"/>
      <c r="F31" s="18"/>
      <c r="G31" s="18"/>
      <c r="H31" s="18"/>
      <c r="I31" s="18"/>
      <c r="L31" s="20"/>
      <c r="M31" s="13"/>
      <c r="N31" s="14"/>
      <c r="O31" s="14"/>
      <c r="P31" s="14"/>
      <c r="Q31" s="14"/>
      <c r="R31" s="14"/>
      <c r="S31" s="14"/>
      <c r="U31" s="13"/>
      <c r="V31" s="21"/>
    </row>
    <row r="32" spans="1:22" x14ac:dyDescent="0.2">
      <c r="D32" s="18"/>
      <c r="E32" s="18"/>
      <c r="F32" s="18"/>
      <c r="G32" s="18"/>
      <c r="H32" s="18"/>
      <c r="I32" s="18"/>
      <c r="L32" s="20"/>
      <c r="M32" s="13"/>
      <c r="N32" s="14"/>
      <c r="O32" s="14"/>
      <c r="P32" s="14"/>
      <c r="Q32" s="14"/>
      <c r="R32" s="14"/>
      <c r="S32" s="14"/>
      <c r="U32" s="13"/>
      <c r="V32" s="21"/>
    </row>
    <row r="33" spans="12:22" x14ac:dyDescent="0.2">
      <c r="L33" s="20"/>
      <c r="M33" s="13"/>
      <c r="N33" s="14"/>
      <c r="O33" s="14"/>
      <c r="P33" s="14"/>
      <c r="Q33" s="14"/>
      <c r="R33" s="14"/>
      <c r="S33" s="14"/>
      <c r="U33" s="13"/>
      <c r="V33" s="21"/>
    </row>
    <row r="34" spans="12:22" x14ac:dyDescent="0.2">
      <c r="L34" s="20"/>
      <c r="M34" s="13"/>
      <c r="N34" s="14"/>
      <c r="O34" s="14"/>
      <c r="P34" s="14"/>
      <c r="Q34" s="14"/>
      <c r="R34" s="14"/>
      <c r="S34" s="14"/>
      <c r="U34" s="13"/>
      <c r="V34" s="21"/>
    </row>
    <row r="35" spans="12:22" x14ac:dyDescent="0.2">
      <c r="L35" s="20"/>
      <c r="M35" s="13"/>
      <c r="N35" s="14"/>
      <c r="O35" s="14"/>
      <c r="P35" s="14"/>
      <c r="Q35" s="14"/>
      <c r="R35" s="14"/>
      <c r="S35" s="14"/>
    </row>
    <row r="58" spans="1:22" x14ac:dyDescent="0.2">
      <c r="B58" s="13"/>
    </row>
    <row r="59" spans="1:22" x14ac:dyDescent="0.2">
      <c r="A59" s="13"/>
      <c r="B59" s="13"/>
      <c r="N59" s="34"/>
      <c r="O59" s="34"/>
      <c r="P59" s="34"/>
      <c r="Q59" s="34"/>
      <c r="R59" s="34"/>
      <c r="S59" s="34"/>
      <c r="U59" s="20"/>
      <c r="V59" s="20"/>
    </row>
    <row r="60" spans="1:22" x14ac:dyDescent="0.2">
      <c r="A60" s="13"/>
      <c r="B60" s="13"/>
      <c r="D60" s="20"/>
      <c r="E60" s="20"/>
      <c r="F60" s="20"/>
      <c r="G60" s="20"/>
      <c r="H60" s="20"/>
      <c r="I60" s="20"/>
      <c r="N60" s="13"/>
      <c r="O60" s="13"/>
      <c r="P60" s="13"/>
      <c r="Q60" s="13"/>
      <c r="R60" s="13"/>
      <c r="S60" s="13"/>
      <c r="U60" s="13"/>
      <c r="V60" s="21"/>
    </row>
    <row r="61" spans="1:22" x14ac:dyDescent="0.2">
      <c r="D61" s="18"/>
      <c r="E61" s="18"/>
      <c r="F61" s="18"/>
      <c r="G61" s="18"/>
      <c r="H61" s="18"/>
      <c r="I61" s="18"/>
      <c r="L61" s="20"/>
      <c r="M61" s="13"/>
      <c r="N61" s="14"/>
      <c r="O61" s="14"/>
      <c r="P61" s="14"/>
      <c r="Q61" s="14"/>
      <c r="R61" s="14"/>
      <c r="S61" s="14"/>
      <c r="U61" s="13"/>
      <c r="V61" s="21"/>
    </row>
    <row r="62" spans="1:22" x14ac:dyDescent="0.2">
      <c r="D62" s="18"/>
      <c r="E62" s="18"/>
      <c r="F62" s="18"/>
      <c r="G62" s="18"/>
      <c r="H62" s="18"/>
      <c r="I62" s="18"/>
      <c r="L62" s="20"/>
      <c r="M62" s="13"/>
      <c r="N62" s="14"/>
      <c r="O62" s="14"/>
      <c r="P62" s="14"/>
      <c r="Q62" s="14"/>
      <c r="R62" s="14"/>
      <c r="S62" s="14"/>
      <c r="U62" s="13"/>
      <c r="V62" s="21"/>
    </row>
    <row r="63" spans="1:22" x14ac:dyDescent="0.2">
      <c r="D63" s="18"/>
      <c r="E63" s="18"/>
      <c r="F63" s="18"/>
      <c r="G63" s="18"/>
      <c r="H63" s="18"/>
      <c r="I63" s="18"/>
      <c r="L63" s="20"/>
      <c r="M63" s="13"/>
      <c r="N63" s="14"/>
      <c r="O63" s="14"/>
      <c r="P63" s="14"/>
      <c r="Q63" s="14"/>
      <c r="R63" s="14"/>
      <c r="S63" s="14"/>
      <c r="U63" s="13"/>
      <c r="V63" s="21"/>
    </row>
    <row r="64" spans="1:22" x14ac:dyDescent="0.2">
      <c r="L64" s="20"/>
      <c r="M64" s="13"/>
      <c r="N64" s="14"/>
      <c r="O64" s="14"/>
      <c r="P64" s="14"/>
      <c r="Q64" s="14"/>
      <c r="R64" s="14"/>
      <c r="S64" s="14"/>
      <c r="U64" s="13"/>
      <c r="V64" s="21"/>
    </row>
    <row r="65" spans="12:22" x14ac:dyDescent="0.2">
      <c r="L65" s="20"/>
      <c r="M65" s="13"/>
      <c r="N65" s="14"/>
      <c r="O65" s="14"/>
      <c r="P65" s="14"/>
      <c r="Q65" s="14"/>
      <c r="R65" s="14"/>
      <c r="S65" s="14"/>
      <c r="U65" s="13"/>
      <c r="V65" s="21"/>
    </row>
    <row r="66" spans="12:22" x14ac:dyDescent="0.2">
      <c r="L66" s="20"/>
      <c r="M66" s="13"/>
      <c r="N66" s="14"/>
      <c r="O66" s="14"/>
      <c r="P66" s="14"/>
      <c r="Q66" s="14"/>
      <c r="R66" s="14"/>
      <c r="S66" s="14"/>
    </row>
  </sheetData>
  <mergeCells count="18">
    <mergeCell ref="N4:S4"/>
    <mergeCell ref="U4:V4"/>
    <mergeCell ref="X4:Z4"/>
    <mergeCell ref="D5:I5"/>
    <mergeCell ref="X5:Y5"/>
    <mergeCell ref="L6:L11"/>
    <mergeCell ref="X6:Y6"/>
    <mergeCell ref="X7:Y7"/>
    <mergeCell ref="X8:Y8"/>
    <mergeCell ref="X9:Y9"/>
    <mergeCell ref="X10:Y10"/>
    <mergeCell ref="N59:S59"/>
    <mergeCell ref="N24:O24"/>
    <mergeCell ref="C14:E14"/>
    <mergeCell ref="C15:D15"/>
    <mergeCell ref="C16:D16"/>
    <mergeCell ref="C17:D17"/>
    <mergeCell ref="N23:O23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B46F-3AD5-41FB-A68A-3E2EC69C57C0}">
  <dimension ref="A3:AC119"/>
  <sheetViews>
    <sheetView tabSelected="1" zoomScale="98" zoomScaleNormal="98" workbookViewId="0">
      <selection activeCell="I117" sqref="I117"/>
    </sheetView>
  </sheetViews>
  <sheetFormatPr defaultColWidth="11.5703125" defaultRowHeight="12.75" x14ac:dyDescent="0.2"/>
  <cols>
    <col min="1" max="1" width="13.42578125" customWidth="1"/>
    <col min="2" max="2" width="16.28515625" customWidth="1"/>
    <col min="4" max="4" width="13.5703125" customWidth="1"/>
    <col min="6" max="6" width="11.7109375" customWidth="1"/>
    <col min="8" max="8" width="13.28515625" customWidth="1"/>
    <col min="19" max="19" width="12" customWidth="1"/>
    <col min="21" max="21" width="21.5703125" customWidth="1"/>
    <col min="23" max="23" width="10.140625" customWidth="1"/>
    <col min="25" max="25" width="13.7109375" customWidth="1"/>
    <col min="27" max="27" width="10.42578125" customWidth="1"/>
    <col min="29" max="29" width="14.28515625" customWidth="1"/>
  </cols>
  <sheetData>
    <row r="3" spans="1:29" x14ac:dyDescent="0.2">
      <c r="B3" s="2" t="s">
        <v>0</v>
      </c>
      <c r="C3" t="s">
        <v>73</v>
      </c>
    </row>
    <row r="4" spans="1:29" x14ac:dyDescent="0.2">
      <c r="A4" s="3" t="s">
        <v>1</v>
      </c>
      <c r="B4" s="4">
        <v>1.2</v>
      </c>
      <c r="C4" t="s">
        <v>71</v>
      </c>
      <c r="N4" s="32" t="s">
        <v>2</v>
      </c>
      <c r="O4" s="32"/>
      <c r="P4" s="32"/>
      <c r="Q4" s="32"/>
      <c r="R4" s="32"/>
      <c r="S4" s="32"/>
      <c r="U4" s="29" t="s">
        <v>65</v>
      </c>
      <c r="V4" s="29"/>
    </row>
    <row r="5" spans="1:29" x14ac:dyDescent="0.2">
      <c r="A5" s="3" t="s">
        <v>5</v>
      </c>
      <c r="B5" s="4">
        <v>1</v>
      </c>
      <c r="C5" t="s">
        <v>72</v>
      </c>
      <c r="D5" s="34"/>
      <c r="E5" s="34"/>
      <c r="F5" s="34"/>
      <c r="G5" s="34"/>
      <c r="H5" s="34"/>
      <c r="I5" s="34"/>
      <c r="N5" s="4">
        <v>0</v>
      </c>
      <c r="O5" s="4">
        <v>1</v>
      </c>
      <c r="P5" s="4">
        <v>2</v>
      </c>
      <c r="Q5" s="4">
        <v>3</v>
      </c>
      <c r="R5" s="4">
        <v>4</v>
      </c>
      <c r="S5" s="4">
        <v>5</v>
      </c>
      <c r="U5" s="4" t="s">
        <v>52</v>
      </c>
      <c r="V5" s="5">
        <f>SUM(O6,P6,P7,Q6,Q7,Q8,R6,R7,R8,R9,S6,S7,S8,S9,S10)</f>
        <v>0.40405036515775228</v>
      </c>
      <c r="X5" s="33" t="s">
        <v>66</v>
      </c>
      <c r="Y5" s="33"/>
      <c r="Z5" s="33"/>
      <c r="AB5" s="37" t="s">
        <v>67</v>
      </c>
      <c r="AC5" s="37"/>
    </row>
    <row r="6" spans="1:29" x14ac:dyDescent="0.2">
      <c r="L6" s="32" t="s">
        <v>7</v>
      </c>
      <c r="M6" s="4">
        <v>0</v>
      </c>
      <c r="N6" s="7">
        <f>E8*E9</f>
        <v>0.1108031583623339</v>
      </c>
      <c r="O6" s="8">
        <f>F8*$E$9</f>
        <v>0.13296379003480069</v>
      </c>
      <c r="P6" s="8">
        <f>G8*$E$9</f>
        <v>7.9778274020880405E-2</v>
      </c>
      <c r="Q6" s="8">
        <f>H8*$E$9</f>
        <v>3.1911309608352166E-2</v>
      </c>
      <c r="R6" s="8">
        <f>I8*$E$9</f>
        <v>9.5733928825056484E-3</v>
      </c>
      <c r="S6" s="8">
        <f>J8*$E$9</f>
        <v>2.2976142918013556E-3</v>
      </c>
      <c r="U6" s="4" t="s">
        <v>51</v>
      </c>
      <c r="V6" s="5">
        <f>SUM(N6,O7,P8,Q9,R10,S11)</f>
        <v>0.2893926751648363</v>
      </c>
      <c r="X6" s="38" t="s">
        <v>57</v>
      </c>
      <c r="Y6" s="39"/>
      <c r="Z6" s="9">
        <f>SUM(N6:S11)-N6</f>
        <v>0.8871033231328308</v>
      </c>
      <c r="AB6" s="17" t="s">
        <v>62</v>
      </c>
      <c r="AC6" s="5">
        <f>SUM(O7:S11)</f>
        <v>0.44036685377248425</v>
      </c>
    </row>
    <row r="7" spans="1:29" x14ac:dyDescent="0.2">
      <c r="E7" s="6">
        <v>0</v>
      </c>
      <c r="F7" s="6">
        <v>1</v>
      </c>
      <c r="G7" s="6">
        <v>2</v>
      </c>
      <c r="H7" s="6">
        <v>3</v>
      </c>
      <c r="I7" s="6">
        <v>4</v>
      </c>
      <c r="J7" s="6">
        <v>5</v>
      </c>
      <c r="L7" s="32"/>
      <c r="M7" s="4">
        <v>1</v>
      </c>
      <c r="N7" s="11">
        <f>$E$8*F9</f>
        <v>0.1108031583623339</v>
      </c>
      <c r="O7" s="7">
        <f>F8*F9</f>
        <v>0.13296379003480069</v>
      </c>
      <c r="P7" s="8">
        <f>G8*$F$9</f>
        <v>7.9778274020880405E-2</v>
      </c>
      <c r="Q7" s="8">
        <f>H8*$F$9</f>
        <v>3.1911309608352166E-2</v>
      </c>
      <c r="R7" s="8">
        <f>I8*$F$9</f>
        <v>9.5733928825056484E-3</v>
      </c>
      <c r="S7" s="8">
        <f>J8*$F$9</f>
        <v>2.2976142918013556E-3</v>
      </c>
      <c r="U7" s="4" t="s">
        <v>53</v>
      </c>
      <c r="V7" s="5">
        <f>SUM(N7,N8,N9,N10,N11,O8,O9,O10,O11,P9,P10,P11,Q10,Q11,R11)</f>
        <v>0.30446344117257629</v>
      </c>
      <c r="X7" s="38" t="s">
        <v>58</v>
      </c>
      <c r="Y7" s="39"/>
      <c r="Z7" s="5">
        <f>SUM(O7,O8,O9,O10,O11,N8,N9,N10,N11,P6,P7,P8,P9,P10,P11,Q6,Q7,Q8,Q9,Q10,Q11,R6,R7,R8,R9,R10,R11,S6,S7,S8,S9,S10,S11)</f>
        <v>0.64333637473569627</v>
      </c>
      <c r="AB7" s="17" t="s">
        <v>63</v>
      </c>
      <c r="AC7" s="19">
        <f>1-AC6</f>
        <v>0.5596331462275157</v>
      </c>
    </row>
    <row r="8" spans="1:29" x14ac:dyDescent="0.2">
      <c r="D8" s="10" t="s">
        <v>49</v>
      </c>
      <c r="E8" s="1">
        <f>(EXP(-$B$4)*($B$4^E7))/FACT(E7)</f>
        <v>0.30119421191220214</v>
      </c>
      <c r="F8" s="1">
        <f t="shared" ref="F8:J8" si="0">(EXP(-$B$4)*($B$4^F7))/FACT(F7)</f>
        <v>0.36143305429464256</v>
      </c>
      <c r="G8" s="1">
        <f t="shared" si="0"/>
        <v>0.21685983257678554</v>
      </c>
      <c r="H8" s="1">
        <f t="shared" si="0"/>
        <v>8.6743933030714218E-2</v>
      </c>
      <c r="I8" s="1">
        <f t="shared" si="0"/>
        <v>2.6023179909214263E-2</v>
      </c>
      <c r="J8" s="1">
        <f t="shared" si="0"/>
        <v>6.245563178211423E-3</v>
      </c>
      <c r="L8" s="32"/>
      <c r="M8" s="4">
        <v>2</v>
      </c>
      <c r="N8" s="11">
        <f>$E$8*G9</f>
        <v>5.5401579181166949E-2</v>
      </c>
      <c r="O8" s="11">
        <f>G9*F8</f>
        <v>6.6481895017400344E-2</v>
      </c>
      <c r="P8" s="7">
        <f>G8*G9</f>
        <v>3.9889137010440202E-2</v>
      </c>
      <c r="Q8" s="8">
        <f>H8*$G$9</f>
        <v>1.5955654804176083E-2</v>
      </c>
      <c r="R8" s="8">
        <f>I8*$G$9</f>
        <v>4.7866964412528242E-3</v>
      </c>
      <c r="S8" s="8">
        <f>J8*$G$9</f>
        <v>1.1488071459006778E-3</v>
      </c>
      <c r="X8" s="38" t="s">
        <v>59</v>
      </c>
      <c r="Y8" s="39"/>
      <c r="Z8" s="5">
        <f>SUM(N9,N10,N11,O8,O9,O10,O11,P7,P8,P9,P10,P11,Q6,Q7,Q8,Q9,Q10,Q11,R6,R7,R8,R9,R10,R11,S6,S7,S8,S9,S10,S11)</f>
        <v>0.37519273149884835</v>
      </c>
    </row>
    <row r="9" spans="1:29" x14ac:dyDescent="0.2">
      <c r="D9" s="10" t="s">
        <v>50</v>
      </c>
      <c r="E9" s="1">
        <f t="shared" ref="E9:J9" si="1">(EXP(-$B$5)*($B$5^E7))/FACT(E7)</f>
        <v>0.36787944117144233</v>
      </c>
      <c r="F9" s="1">
        <f t="shared" si="1"/>
        <v>0.36787944117144233</v>
      </c>
      <c r="G9" s="1">
        <f t="shared" si="1"/>
        <v>0.18393972058572117</v>
      </c>
      <c r="H9" s="1">
        <f t="shared" si="1"/>
        <v>6.1313240195240391E-2</v>
      </c>
      <c r="I9" s="1">
        <f t="shared" si="1"/>
        <v>1.5328310048810098E-2</v>
      </c>
      <c r="J9" s="1">
        <f t="shared" si="1"/>
        <v>3.0656620097620196E-3</v>
      </c>
      <c r="L9" s="32"/>
      <c r="M9" s="4">
        <v>3</v>
      </c>
      <c r="N9" s="11">
        <f>$E$8*H9</f>
        <v>1.8467193060388985E-2</v>
      </c>
      <c r="O9" s="11">
        <f>H9*F8</f>
        <v>2.216063167246678E-2</v>
      </c>
      <c r="P9" s="11">
        <f>H9*G8</f>
        <v>1.3296379003480069E-2</v>
      </c>
      <c r="Q9" s="7">
        <f>H8*H9</f>
        <v>5.3185516013920277E-3</v>
      </c>
      <c r="R9" s="8">
        <f>I8*$H$9</f>
        <v>1.5955654804176082E-3</v>
      </c>
      <c r="S9" s="8">
        <f>J8*$H$9</f>
        <v>3.8293571530022594E-4</v>
      </c>
      <c r="X9" s="38" t="s">
        <v>60</v>
      </c>
      <c r="Y9" s="39"/>
      <c r="Z9" s="5">
        <f>SUM(P6,O6,N6,N7,N8,O7)</f>
        <v>0.62271374999631646</v>
      </c>
    </row>
    <row r="10" spans="1:29" x14ac:dyDescent="0.2">
      <c r="L10" s="32"/>
      <c r="M10" s="4">
        <v>4</v>
      </c>
      <c r="N10" s="11">
        <f>E8*I9</f>
        <v>4.6167982650972463E-3</v>
      </c>
      <c r="O10" s="11">
        <f>I9*F8</f>
        <v>5.5401579181166951E-3</v>
      </c>
      <c r="P10" s="11">
        <f>I9*G8</f>
        <v>3.3240947508700173E-3</v>
      </c>
      <c r="Q10" s="11">
        <f>I9*H8</f>
        <v>1.3296379003480069E-3</v>
      </c>
      <c r="R10" s="7">
        <f>I8*I9</f>
        <v>3.9889137010440205E-4</v>
      </c>
      <c r="S10" s="8">
        <f>J8*$I$9</f>
        <v>9.5733928825056486E-5</v>
      </c>
      <c r="X10" s="31" t="s">
        <v>61</v>
      </c>
      <c r="Y10" s="31"/>
      <c r="Z10" s="5">
        <f>SUM(N6,O6,P6,P7,O7,N7,N8,O8)</f>
        <v>0.76897391903459722</v>
      </c>
    </row>
    <row r="11" spans="1:29" x14ac:dyDescent="0.2">
      <c r="L11" s="32"/>
      <c r="M11" s="4">
        <v>5</v>
      </c>
      <c r="N11" s="11">
        <f>E8*J9</f>
        <v>9.2335965301944918E-4</v>
      </c>
      <c r="O11" s="11">
        <f>J9*F8</f>
        <v>1.1080315836233391E-3</v>
      </c>
      <c r="P11" s="11">
        <f>J9*G8</f>
        <v>6.6481895017400346E-4</v>
      </c>
      <c r="Q11" s="11">
        <f>J9*H8</f>
        <v>2.6592758006960141E-4</v>
      </c>
      <c r="R11" s="11">
        <f>J9*I8</f>
        <v>7.9778274020880403E-5</v>
      </c>
      <c r="S11" s="7">
        <f>J8*J9</f>
        <v>1.9146785765011298E-5</v>
      </c>
      <c r="U11" s="29" t="s">
        <v>64</v>
      </c>
      <c r="V11" s="29"/>
    </row>
    <row r="12" spans="1:29" x14ac:dyDescent="0.2">
      <c r="U12" s="4" t="s">
        <v>54</v>
      </c>
      <c r="V12" s="5">
        <f>V5+V6</f>
        <v>0.69344304032258863</v>
      </c>
    </row>
    <row r="13" spans="1:29" x14ac:dyDescent="0.2">
      <c r="U13" s="4" t="s">
        <v>55</v>
      </c>
      <c r="V13" s="5">
        <f>V6+V7</f>
        <v>0.59385611633741253</v>
      </c>
    </row>
    <row r="14" spans="1:29" x14ac:dyDescent="0.2">
      <c r="D14" s="29" t="s">
        <v>18</v>
      </c>
      <c r="E14" s="29"/>
      <c r="F14" s="29"/>
      <c r="H14" s="29" t="s">
        <v>18</v>
      </c>
      <c r="I14" s="29"/>
      <c r="J14" s="29"/>
      <c r="L14" s="20"/>
      <c r="M14" s="20"/>
      <c r="N14" s="20"/>
      <c r="O14" s="20"/>
      <c r="U14" s="4" t="s">
        <v>56</v>
      </c>
      <c r="V14" s="5">
        <f>V5+V7</f>
        <v>0.70851380633032857</v>
      </c>
    </row>
    <row r="15" spans="1:29" x14ac:dyDescent="0.2">
      <c r="C15" s="13"/>
      <c r="D15" s="31" t="s">
        <v>2</v>
      </c>
      <c r="E15" s="31"/>
      <c r="F15" s="12">
        <f>(V5-1)^2+(V6-0)^2+(V7-0)^2</f>
        <v>0.53160207471831566</v>
      </c>
      <c r="H15" s="31" t="s">
        <v>2</v>
      </c>
      <c r="I15" s="31"/>
      <c r="J15" s="12">
        <f>(1/3-1)^2+(1/3.4-0)^2+(1/2.37-0)^2</f>
        <v>0.70898378170524801</v>
      </c>
      <c r="L15" s="18"/>
      <c r="M15" s="13"/>
      <c r="N15" s="21"/>
      <c r="O15" s="13"/>
    </row>
    <row r="16" spans="1:29" x14ac:dyDescent="0.2">
      <c r="C16" s="13"/>
      <c r="D16" s="31" t="s">
        <v>8</v>
      </c>
      <c r="E16" s="31"/>
      <c r="F16" s="12">
        <f>(V5-0)^2+(V6-1)^2+(V6-0)^2</f>
        <v>0.75196758813256126</v>
      </c>
      <c r="H16" s="31" t="s">
        <v>8</v>
      </c>
      <c r="I16" s="31"/>
      <c r="J16" s="12">
        <f>(1/3-0)^2+(1/3.4-1)^2+(1/2.37-0)^2</f>
        <v>0.78741515425426756</v>
      </c>
      <c r="L16" s="26"/>
      <c r="M16" s="20"/>
      <c r="N16" s="21"/>
      <c r="O16" s="13"/>
    </row>
    <row r="17" spans="1:29" x14ac:dyDescent="0.2">
      <c r="C17" s="13"/>
      <c r="D17" s="31" t="s">
        <v>7</v>
      </c>
      <c r="E17" s="31"/>
      <c r="F17" s="12">
        <f>(V5-0)^2+(V6-0)^2+(V7-1)^2</f>
        <v>0.73077592268866765</v>
      </c>
      <c r="H17" s="31" t="s">
        <v>7</v>
      </c>
      <c r="I17" s="31"/>
      <c r="J17" s="12">
        <f>(1/3-0)^2+(1/3.4-0)^2+(1/2.37-1)^2</f>
        <v>0.53176859183183034</v>
      </c>
      <c r="L17" s="26"/>
      <c r="M17" s="26"/>
      <c r="N17" s="21"/>
      <c r="O17" s="13"/>
    </row>
    <row r="18" spans="1:29" x14ac:dyDescent="0.2">
      <c r="C18" s="13"/>
    </row>
    <row r="19" spans="1:29" x14ac:dyDescent="0.2">
      <c r="C19" s="13"/>
    </row>
    <row r="20" spans="1:29" x14ac:dyDescent="0.2">
      <c r="C20" s="13"/>
      <c r="D20" s="25" t="s">
        <v>68</v>
      </c>
      <c r="E20" s="17">
        <f>MIN(F15:F17)</f>
        <v>0.53160207471831566</v>
      </c>
      <c r="H20" s="25" t="s">
        <v>68</v>
      </c>
      <c r="I20" s="17">
        <f>MIN(J15:J17)</f>
        <v>0.53176859183183034</v>
      </c>
    </row>
    <row r="21" spans="1:29" x14ac:dyDescent="0.2">
      <c r="C21" s="13"/>
      <c r="D21" s="25" t="s">
        <v>69</v>
      </c>
      <c r="E21" s="24">
        <f>1-E20/2</f>
        <v>0.73419896264084217</v>
      </c>
      <c r="H21" s="25" t="s">
        <v>69</v>
      </c>
      <c r="I21" s="24">
        <f>1-I20/2</f>
        <v>0.73411570408408489</v>
      </c>
    </row>
    <row r="22" spans="1:29" x14ac:dyDescent="0.2">
      <c r="A22" s="13"/>
      <c r="B22" s="13"/>
      <c r="C22" s="13"/>
      <c r="D22" s="25" t="s">
        <v>70</v>
      </c>
      <c r="E22" s="17">
        <f>150*(E21^2)+50*E21-100</f>
        <v>17.56716564347542</v>
      </c>
      <c r="H22" s="25" t="s">
        <v>70</v>
      </c>
      <c r="I22" s="17">
        <f>150*(I21^2)+50*I21-100</f>
        <v>17.544665251634996</v>
      </c>
    </row>
    <row r="23" spans="1:29" x14ac:dyDescent="0.2">
      <c r="A23" s="13"/>
      <c r="B23" s="13"/>
      <c r="C23" s="13"/>
    </row>
    <row r="30" spans="1:29" x14ac:dyDescent="0.2">
      <c r="B30" s="2" t="s">
        <v>0</v>
      </c>
      <c r="C30" t="s">
        <v>74</v>
      </c>
    </row>
    <row r="31" spans="1:29" x14ac:dyDescent="0.2">
      <c r="A31" s="3" t="s">
        <v>1</v>
      </c>
      <c r="B31" s="4">
        <v>1.71</v>
      </c>
      <c r="C31" t="s">
        <v>71</v>
      </c>
      <c r="N31" s="32" t="s">
        <v>2</v>
      </c>
      <c r="O31" s="32"/>
      <c r="P31" s="32"/>
      <c r="Q31" s="32"/>
      <c r="R31" s="32"/>
      <c r="S31" s="32"/>
      <c r="U31" s="29" t="s">
        <v>65</v>
      </c>
      <c r="V31" s="29"/>
    </row>
    <row r="32" spans="1:29" x14ac:dyDescent="0.2">
      <c r="A32" s="3" t="s">
        <v>5</v>
      </c>
      <c r="B32" s="4">
        <v>1.72</v>
      </c>
      <c r="C32" t="s">
        <v>72</v>
      </c>
      <c r="D32" s="34"/>
      <c r="E32" s="34"/>
      <c r="F32" s="34"/>
      <c r="G32" s="34"/>
      <c r="H32" s="34"/>
      <c r="I32" s="34"/>
      <c r="N32" s="4">
        <v>0</v>
      </c>
      <c r="O32" s="4">
        <v>1</v>
      </c>
      <c r="P32" s="4">
        <v>2</v>
      </c>
      <c r="Q32" s="4">
        <v>3</v>
      </c>
      <c r="R32" s="4">
        <v>4</v>
      </c>
      <c r="S32" s="4">
        <v>5</v>
      </c>
      <c r="U32" s="4" t="s">
        <v>52</v>
      </c>
      <c r="V32" s="5">
        <f>SUM(O33,P33,P34,Q33,Q34,Q35,R33,R34,R35,R36,S33,S34,S35,S36,S37)</f>
        <v>0.3771080447383694</v>
      </c>
      <c r="X32" s="33" t="s">
        <v>66</v>
      </c>
      <c r="Y32" s="33"/>
      <c r="Z32" s="33"/>
      <c r="AB32" s="37" t="s">
        <v>67</v>
      </c>
      <c r="AC32" s="37"/>
    </row>
    <row r="33" spans="4:29" x14ac:dyDescent="0.2">
      <c r="L33" s="32" t="s">
        <v>7</v>
      </c>
      <c r="M33" s="4">
        <v>0</v>
      </c>
      <c r="N33" s="7">
        <f>E35*E36</f>
        <v>3.2386940772907047E-2</v>
      </c>
      <c r="O33" s="8">
        <f>F35*E36</f>
        <v>5.5381668721671044E-2</v>
      </c>
      <c r="P33" s="8">
        <f>G35*E36</f>
        <v>4.7351326757028737E-2</v>
      </c>
      <c r="Q33" s="8">
        <f>H35*E36</f>
        <v>2.6990256251506382E-2</v>
      </c>
      <c r="R33" s="8">
        <f>I35*E36</f>
        <v>1.1538334547518977E-2</v>
      </c>
      <c r="S33" s="8">
        <f>J35*E36</f>
        <v>3.9461104152514904E-3</v>
      </c>
      <c r="U33" s="4" t="s">
        <v>51</v>
      </c>
      <c r="V33" s="5">
        <f>SUM(N33,O34,P35,Q36,R37,S38)</f>
        <v>0.22527798337479543</v>
      </c>
      <c r="X33" s="38" t="s">
        <v>57</v>
      </c>
      <c r="Y33" s="39"/>
      <c r="Z33" s="9">
        <f>SUM(N33:S38)-N33</f>
        <v>0.95102453526050634</v>
      </c>
      <c r="AB33" s="17" t="s">
        <v>62</v>
      </c>
      <c r="AC33" s="5">
        <f>SUM(O34:S38)</f>
        <v>0.65886452853783473</v>
      </c>
    </row>
    <row r="34" spans="4:29" x14ac:dyDescent="0.2">
      <c r="E34" s="6">
        <v>0</v>
      </c>
      <c r="F34" s="6">
        <v>1</v>
      </c>
      <c r="G34" s="6">
        <v>2</v>
      </c>
      <c r="H34" s="6">
        <v>3</v>
      </c>
      <c r="I34" s="6">
        <v>4</v>
      </c>
      <c r="J34" s="6">
        <v>5</v>
      </c>
      <c r="L34" s="32"/>
      <c r="M34" s="4">
        <v>1</v>
      </c>
      <c r="N34" s="11">
        <f>F36*E35</f>
        <v>5.5705538129400115E-2</v>
      </c>
      <c r="O34" s="7">
        <f>F35*F36</f>
        <v>9.5256470201274188E-2</v>
      </c>
      <c r="P34" s="8">
        <f>G35*F36</f>
        <v>8.144428202208942E-2</v>
      </c>
      <c r="Q34" s="8">
        <f>H35*F36</f>
        <v>4.6423240752590973E-2</v>
      </c>
      <c r="R34" s="8">
        <f>I35*F36</f>
        <v>1.984593542173264E-2</v>
      </c>
      <c r="S34" s="8">
        <f>J35*F36</f>
        <v>6.787309914232563E-3</v>
      </c>
      <c r="U34" s="4" t="s">
        <v>53</v>
      </c>
      <c r="V34" s="5">
        <f>SUM(N34,N35,N36,N37,N38,O35,O36,O37,O38,P36,P37,P38,Q37,Q38,R38)</f>
        <v>0.38102544792024834</v>
      </c>
      <c r="X34" s="38" t="s">
        <v>58</v>
      </c>
      <c r="Y34" s="39"/>
      <c r="Z34" s="5">
        <f>SUM(O34,O35,O36,O37,O38,N35,N36,N37,N38,P33,P34,P35,P36,P37,P38,Q33,Q34,Q35,Q36,Q37,Q38,R33,R34,R35,R36,R37,R38,S33,S34,S35,S36,S37,S38)</f>
        <v>0.83993732840943514</v>
      </c>
      <c r="AB34" s="17" t="s">
        <v>63</v>
      </c>
      <c r="AC34" s="19">
        <f>1-AC33</f>
        <v>0.34113547146216527</v>
      </c>
    </row>
    <row r="35" spans="4:29" x14ac:dyDescent="0.2">
      <c r="D35" s="10" t="s">
        <v>49</v>
      </c>
      <c r="E35" s="1">
        <f>(EXP(-$B$31)*($B$31^E34))/FACT(E34)</f>
        <v>0.1808657926171221</v>
      </c>
      <c r="F35" s="1">
        <f>(EXP(-$B$31)*($B$31^F34))/FACT(F34)</f>
        <v>0.30928050537527879</v>
      </c>
      <c r="G35" s="1">
        <f t="shared" ref="G35:J35" si="2">(EXP(-$B$31)*($B$31^G34))/FACT(G34)</f>
        <v>0.26443483209586333</v>
      </c>
      <c r="H35" s="1">
        <f t="shared" si="2"/>
        <v>0.15072785429464211</v>
      </c>
      <c r="I35" s="1">
        <f t="shared" si="2"/>
        <v>6.4436157710959494E-2</v>
      </c>
      <c r="J35" s="1">
        <f t="shared" si="2"/>
        <v>2.2037165937148148E-2</v>
      </c>
      <c r="L35" s="32"/>
      <c r="M35" s="4">
        <v>2</v>
      </c>
      <c r="N35" s="11">
        <f>G36*E35</f>
        <v>4.7906762791284092E-2</v>
      </c>
      <c r="O35" s="11">
        <f>G36*F35</f>
        <v>8.1920564373095792E-2</v>
      </c>
      <c r="P35" s="7">
        <f>G35*G36</f>
        <v>7.0042082538996894E-2</v>
      </c>
      <c r="Q35" s="8">
        <f>H35*G36</f>
        <v>3.9923987047228236E-2</v>
      </c>
      <c r="R35" s="8">
        <f>I35*G36</f>
        <v>1.7067504462690068E-2</v>
      </c>
      <c r="S35" s="8">
        <f>J35*G36</f>
        <v>5.8370865262400038E-3</v>
      </c>
      <c r="X35" s="38" t="s">
        <v>59</v>
      </c>
      <c r="Y35" s="39"/>
      <c r="Z35" s="5">
        <f>SUM(N36,N37,N38,O35,O36,O37,O38,P34,P35,P36,P37,P38,Q33,Q34,Q35,Q36,Q37,Q38,R33,R34,R35,R36,R37,R38,S33,S34,S35,S36,S37,S38)</f>
        <v>0.64942276865984805</v>
      </c>
    </row>
    <row r="36" spans="4:29" x14ac:dyDescent="0.2">
      <c r="D36" s="10" t="s">
        <v>50</v>
      </c>
      <c r="E36" s="1">
        <f>(EXP(-$B$32)*($B$32^E34))/FACT(E34)</f>
        <v>0.17906614791149322</v>
      </c>
      <c r="F36" s="1">
        <f t="shared" ref="F36:J36" si="3">(EXP(-$B$32)*($B$32^F34))/FACT(F34)</f>
        <v>0.30799377440776832</v>
      </c>
      <c r="G36" s="1">
        <f>(EXP(-$B$32)*($B$32^G34))/FACT(G34)</f>
        <v>0.26487464599068072</v>
      </c>
      <c r="H36" s="1">
        <f t="shared" si="3"/>
        <v>0.15186146370132364</v>
      </c>
      <c r="I36" s="1">
        <f t="shared" si="3"/>
        <v>6.5300429391569145E-2</v>
      </c>
      <c r="J36" s="1">
        <f t="shared" si="3"/>
        <v>2.2463347710699789E-2</v>
      </c>
      <c r="L36" s="32"/>
      <c r="M36" s="4">
        <v>3</v>
      </c>
      <c r="N36" s="11">
        <f>H36*E35</f>
        <v>2.7466544000336216E-2</v>
      </c>
      <c r="O36" s="11">
        <f>H36*F35</f>
        <v>4.696779024057493E-2</v>
      </c>
      <c r="P36" s="11">
        <f>H36*G35</f>
        <v>4.0157460655691563E-2</v>
      </c>
      <c r="Q36" s="7">
        <f>H35*H36</f>
        <v>2.288975257374419E-2</v>
      </c>
      <c r="R36" s="8">
        <f>I35*H36</f>
        <v>9.7853692252756405E-3</v>
      </c>
      <c r="S36" s="8">
        <f>J35*H36</f>
        <v>3.3465962750442693E-3</v>
      </c>
      <c r="X36" s="38" t="s">
        <v>60</v>
      </c>
      <c r="Y36" s="39"/>
      <c r="Z36" s="5">
        <f>SUM(P33,O33,N33,N34,N35,O34)</f>
        <v>0.33398870737356523</v>
      </c>
    </row>
    <row r="37" spans="4:29" x14ac:dyDescent="0.2">
      <c r="L37" s="32"/>
      <c r="M37" s="4">
        <v>4</v>
      </c>
      <c r="N37" s="11">
        <f>I36*E35</f>
        <v>1.1810613920144569E-2</v>
      </c>
      <c r="O37" s="11">
        <f>I36*F35</f>
        <v>2.0196149803447215E-2</v>
      </c>
      <c r="P37" s="11">
        <f>I36*G35</f>
        <v>1.7267708081947365E-2</v>
      </c>
      <c r="Q37" s="11">
        <f>I36*H35</f>
        <v>9.8425936067100001E-3</v>
      </c>
      <c r="R37" s="7">
        <f>I35*I36</f>
        <v>4.2077087668685245E-3</v>
      </c>
      <c r="S37" s="8">
        <f>J35*I36</f>
        <v>1.4390363982690352E-3</v>
      </c>
      <c r="X37" s="31" t="s">
        <v>61</v>
      </c>
      <c r="Y37" s="31"/>
      <c r="Z37" s="5">
        <f>SUM(N33,O33,P33,P34,O34,N34,N35,O35)</f>
        <v>0.49735355376875046</v>
      </c>
    </row>
    <row r="38" spans="4:29" x14ac:dyDescent="0.2">
      <c r="L38" s="32"/>
      <c r="M38" s="4">
        <v>5</v>
      </c>
      <c r="N38" s="11">
        <f>J36*E35</f>
        <v>4.0628511885297328E-3</v>
      </c>
      <c r="O38" s="11">
        <f>J36*F35</f>
        <v>6.9474755323858427E-3</v>
      </c>
      <c r="P38" s="11">
        <f>J36*G35</f>
        <v>5.9400915801898942E-3</v>
      </c>
      <c r="Q38" s="11">
        <f>J36*H35</f>
        <v>3.3858522007082404E-3</v>
      </c>
      <c r="R38" s="11">
        <f>J36*I35</f>
        <v>1.4474518158027725E-3</v>
      </c>
      <c r="S38" s="7">
        <f>J35*J36</f>
        <v>4.9502852100454821E-4</v>
      </c>
      <c r="U38" s="20"/>
      <c r="V38" s="20"/>
    </row>
    <row r="40" spans="4:29" x14ac:dyDescent="0.2">
      <c r="D40" s="29" t="s">
        <v>18</v>
      </c>
      <c r="E40" s="29"/>
      <c r="F40" s="29"/>
      <c r="H40" s="29" t="s">
        <v>18</v>
      </c>
      <c r="I40" s="29"/>
      <c r="J40" s="29"/>
    </row>
    <row r="41" spans="4:29" x14ac:dyDescent="0.2">
      <c r="D41" s="31" t="s">
        <v>2</v>
      </c>
      <c r="E41" s="31"/>
      <c r="F41" s="12">
        <f>(V32-1)^2+(V33-0)^2+(V34-0)^2</f>
        <v>0.58392494968589759</v>
      </c>
      <c r="H41" s="31" t="s">
        <v>2</v>
      </c>
      <c r="I41" s="31"/>
      <c r="J41" s="12">
        <f>(1/2.9-1)^2+(1/3.7-0)^2+(1/2.3-0)^2</f>
        <v>0.69133282761164305</v>
      </c>
    </row>
    <row r="42" spans="4:29" x14ac:dyDescent="0.2">
      <c r="D42" s="31" t="s">
        <v>8</v>
      </c>
      <c r="E42" s="31"/>
      <c r="F42" s="12">
        <f>(V32-0)^2+(V33-1)^2+(V34-0)^2</f>
        <v>0.88758507241304563</v>
      </c>
      <c r="H42" s="31" t="s">
        <v>8</v>
      </c>
      <c r="I42" s="31"/>
      <c r="J42" s="12">
        <f>(1/2.9-0)^2+(1/3.7-1)^2+(1/2.3-0)^2</f>
        <v>0.84044745948489585</v>
      </c>
    </row>
    <row r="43" spans="4:29" x14ac:dyDescent="0.2">
      <c r="D43" s="31" t="s">
        <v>7</v>
      </c>
      <c r="E43" s="31"/>
      <c r="F43" s="12">
        <f>(V32-0)^2+(V33-0)^2+(V34-1)^2</f>
        <v>0.5760901433221397</v>
      </c>
      <c r="H43" s="31" t="s">
        <v>7</v>
      </c>
      <c r="I43" s="31"/>
      <c r="J43" s="12">
        <f>(1/2.9-0)^2+(1/3.7-0)^2+(1/2.3-1)^2</f>
        <v>0.51142278263413177</v>
      </c>
    </row>
    <row r="46" spans="4:29" x14ac:dyDescent="0.2">
      <c r="D46" s="25" t="s">
        <v>68</v>
      </c>
      <c r="E46" s="17">
        <f>MIN(F41:F43)</f>
        <v>0.5760901433221397</v>
      </c>
      <c r="H46" s="25" t="s">
        <v>68</v>
      </c>
      <c r="I46" s="17">
        <f>MIN(J41:J43)</f>
        <v>0.51142278263413177</v>
      </c>
    </row>
    <row r="47" spans="4:29" x14ac:dyDescent="0.2">
      <c r="D47" s="25" t="s">
        <v>69</v>
      </c>
      <c r="E47" s="24">
        <f>1-E46/2</f>
        <v>0.71195492833893015</v>
      </c>
      <c r="H47" s="25" t="s">
        <v>69</v>
      </c>
      <c r="I47" s="24">
        <f>1-I46/2</f>
        <v>0.74428860868293412</v>
      </c>
    </row>
    <row r="48" spans="4:29" x14ac:dyDescent="0.2">
      <c r="D48" s="25" t="s">
        <v>70</v>
      </c>
      <c r="E48" s="17">
        <f>150*(E47^2)+50*E47-100</f>
        <v>11.62971941486019</v>
      </c>
      <c r="H48" s="25" t="s">
        <v>70</v>
      </c>
      <c r="I48" s="17">
        <f>150*(I47^2)+50*I47-100</f>
        <v>20.309260386423375</v>
      </c>
    </row>
    <row r="58" spans="1:29" x14ac:dyDescent="0.2">
      <c r="B58" s="2" t="s">
        <v>0</v>
      </c>
      <c r="C58" t="s">
        <v>75</v>
      </c>
    </row>
    <row r="59" spans="1:29" x14ac:dyDescent="0.2">
      <c r="A59" s="3" t="s">
        <v>1</v>
      </c>
      <c r="B59" s="4">
        <v>1.27</v>
      </c>
      <c r="C59" t="s">
        <v>71</v>
      </c>
      <c r="N59" s="52" t="s">
        <v>2</v>
      </c>
      <c r="O59" s="53"/>
      <c r="P59" s="53"/>
      <c r="Q59" s="53"/>
      <c r="R59" s="53"/>
      <c r="S59" s="54"/>
      <c r="U59" s="41" t="s">
        <v>65</v>
      </c>
      <c r="V59" s="43"/>
    </row>
    <row r="60" spans="1:29" x14ac:dyDescent="0.2">
      <c r="A60" s="3" t="s">
        <v>5</v>
      </c>
      <c r="B60" s="4">
        <v>2.08</v>
      </c>
      <c r="C60" t="s">
        <v>72</v>
      </c>
      <c r="D60" s="34"/>
      <c r="E60" s="34"/>
      <c r="F60" s="34"/>
      <c r="G60" s="34"/>
      <c r="H60" s="34"/>
      <c r="I60" s="34"/>
      <c r="N60" s="4">
        <v>0</v>
      </c>
      <c r="O60" s="4">
        <v>1</v>
      </c>
      <c r="P60" s="4">
        <v>2</v>
      </c>
      <c r="Q60" s="4">
        <v>3</v>
      </c>
      <c r="R60" s="4">
        <v>4</v>
      </c>
      <c r="S60" s="4">
        <v>5</v>
      </c>
      <c r="U60" s="4" t="s">
        <v>52</v>
      </c>
      <c r="V60" s="5">
        <f>SUM(O61,P61,P62,Q61,Q62,Q63,R61,R62,R63,R64,S61,S62,S63,S64,S65)</f>
        <v>0.22741329790649001</v>
      </c>
      <c r="X60" s="44" t="s">
        <v>66</v>
      </c>
      <c r="Y60" s="45"/>
      <c r="Z60" s="46"/>
      <c r="AB60" s="47" t="s">
        <v>67</v>
      </c>
      <c r="AC60" s="48"/>
    </row>
    <row r="61" spans="1:29" x14ac:dyDescent="0.2">
      <c r="L61" s="49" t="s">
        <v>7</v>
      </c>
      <c r="M61" s="4">
        <v>0</v>
      </c>
      <c r="N61" s="7">
        <f>E63*E64</f>
        <v>3.5084354100845025E-2</v>
      </c>
      <c r="O61" s="8">
        <f>F63*E64</f>
        <v>4.4557129708073177E-2</v>
      </c>
      <c r="P61" s="8">
        <f>G63*E64</f>
        <v>2.829377736462647E-2</v>
      </c>
      <c r="Q61" s="8">
        <f>H63*E64</f>
        <v>1.1977699084358537E-2</v>
      </c>
      <c r="R61" s="8">
        <f>I63*E64</f>
        <v>3.8029194592838359E-3</v>
      </c>
      <c r="S61" s="8">
        <f>J63*E64</f>
        <v>9.6594154265809435E-4</v>
      </c>
      <c r="U61" s="4" t="s">
        <v>51</v>
      </c>
      <c r="V61" s="5">
        <f>SUM(N61,O62,P63,Q64,R65,S66)</f>
        <v>0.21021196916923657</v>
      </c>
      <c r="X61" s="38" t="s">
        <v>57</v>
      </c>
      <c r="Y61" s="39"/>
      <c r="Z61" s="9">
        <f>SUM(N61:S66)-N61</f>
        <v>0.94333942455638331</v>
      </c>
      <c r="AB61" s="17" t="s">
        <v>62</v>
      </c>
      <c r="AC61" s="5">
        <f>SUM(O62:S66)</f>
        <v>0.6135065739114911</v>
      </c>
    </row>
    <row r="62" spans="1:29" x14ac:dyDescent="0.2">
      <c r="E62" s="6">
        <v>0</v>
      </c>
      <c r="F62" s="6">
        <v>1</v>
      </c>
      <c r="G62" s="6">
        <v>2</v>
      </c>
      <c r="H62" s="6">
        <v>3</v>
      </c>
      <c r="I62" s="6">
        <v>4</v>
      </c>
      <c r="J62" s="6">
        <v>5</v>
      </c>
      <c r="L62" s="50"/>
      <c r="M62" s="4">
        <v>1</v>
      </c>
      <c r="N62" s="11">
        <f>F64*E63</f>
        <v>7.2975456529757649E-2</v>
      </c>
      <c r="O62" s="7">
        <f>F63*F64</f>
        <v>9.2678829792792211E-2</v>
      </c>
      <c r="P62" s="8">
        <f>G63*F64</f>
        <v>5.8851056918423059E-2</v>
      </c>
      <c r="Q62" s="8">
        <f>H63*F64</f>
        <v>2.4913614095465757E-2</v>
      </c>
      <c r="R62" s="8">
        <f>I63*F64</f>
        <v>7.9100724753103785E-3</v>
      </c>
      <c r="S62" s="8">
        <f>J63*F64</f>
        <v>2.0091584087288364E-3</v>
      </c>
      <c r="U62" s="4" t="s">
        <v>53</v>
      </c>
      <c r="V62" s="5">
        <f>SUM(N62,N63,N64,N65,N66,O63,O64,O65,O66,P64,P65,P66,Q65,Q66,R66)</f>
        <v>0.54079851158150172</v>
      </c>
      <c r="X62" s="38" t="s">
        <v>58</v>
      </c>
      <c r="Y62" s="39"/>
      <c r="Z62" s="5">
        <f>SUM(O62,O63,O64,O65,O66,N63,N64,N65,N66,P61,P62,P63,P64,P65,P66,Q61,Q62,Q63,Q64,Q65,Q66,R61,R62,R63,R64,R65,R66,S61,S62,S63,S64,S65,S66)</f>
        <v>0.82580683831855239</v>
      </c>
      <c r="AB62" s="17" t="s">
        <v>63</v>
      </c>
      <c r="AC62" s="19">
        <f>1-AC61</f>
        <v>0.3864934260885089</v>
      </c>
    </row>
    <row r="63" spans="1:29" x14ac:dyDescent="0.2">
      <c r="D63" s="10" t="s">
        <v>49</v>
      </c>
      <c r="E63" s="1">
        <f>(EXP(-$B$59)*($B$59^E62))/FACT(E62)</f>
        <v>0.28083162177837978</v>
      </c>
      <c r="F63" s="1">
        <f t="shared" ref="F63:J63" si="4">(EXP(-$B$59)*($B$59^F62))/FACT(F62)</f>
        <v>0.3566561596585423</v>
      </c>
      <c r="G63" s="1">
        <f t="shared" si="4"/>
        <v>0.22647666138317438</v>
      </c>
      <c r="H63" s="1">
        <f t="shared" si="4"/>
        <v>9.5875119985543808E-2</v>
      </c>
      <c r="I63" s="1">
        <f t="shared" si="4"/>
        <v>3.044035059541016E-2</v>
      </c>
      <c r="J63" s="1">
        <f t="shared" si="4"/>
        <v>7.7318490512341808E-3</v>
      </c>
      <c r="L63" s="50"/>
      <c r="M63" s="4">
        <v>2</v>
      </c>
      <c r="N63" s="11">
        <f>G64*E63</f>
        <v>7.5894474790947963E-2</v>
      </c>
      <c r="O63" s="11">
        <f>G64*F63</f>
        <v>9.6385982984503904E-2</v>
      </c>
      <c r="P63" s="7">
        <f>G63*G64</f>
        <v>6.1205099195159984E-2</v>
      </c>
      <c r="Q63" s="8">
        <f>H63*G64</f>
        <v>2.591015865928439E-2</v>
      </c>
      <c r="R63" s="8">
        <f>I63*G64</f>
        <v>8.2264753743227937E-3</v>
      </c>
      <c r="S63" s="8">
        <f>J63*G64</f>
        <v>2.0895247450779895E-3</v>
      </c>
      <c r="X63" s="38" t="s">
        <v>59</v>
      </c>
      <c r="Y63" s="39"/>
      <c r="Z63" s="5">
        <f>SUM(N64,N65,N66,O63,O64,O65,O66,P62,P63,P64,P65,P66,Q61,Q62,Q63,Q64,Q65,Q66,R61,R62,R63,R64,R65,R66,S61,S62,S63,S64,S65,S66)</f>
        <v>0.62893975637018562</v>
      </c>
    </row>
    <row r="64" spans="1:29" x14ac:dyDescent="0.2">
      <c r="D64" s="10" t="s">
        <v>50</v>
      </c>
      <c r="E64" s="1">
        <f>(EXP(-$B$60)*($B$60^E62))/FACT(E62)</f>
        <v>0.12493021219858241</v>
      </c>
      <c r="F64" s="1">
        <f t="shared" ref="F64:J64" si="5">(EXP(-$B$60)*($B$60^F62))/FACT(F62)</f>
        <v>0.25985484137305143</v>
      </c>
      <c r="G64" s="1">
        <f t="shared" si="5"/>
        <v>0.27024903502797348</v>
      </c>
      <c r="H64" s="1">
        <f t="shared" si="5"/>
        <v>0.18737266428606161</v>
      </c>
      <c r="I64" s="1">
        <f t="shared" si="5"/>
        <v>9.7433785428752043E-2</v>
      </c>
      <c r="J64" s="1">
        <f t="shared" si="5"/>
        <v>4.0532454738360861E-2</v>
      </c>
      <c r="L64" s="50"/>
      <c r="M64" s="4">
        <v>3</v>
      </c>
      <c r="N64" s="11">
        <f>H64*E63</f>
        <v>5.2620169188390582E-2</v>
      </c>
      <c r="O64" s="11">
        <f>H64*F63</f>
        <v>6.6827614869256036E-2</v>
      </c>
      <c r="P64" s="11">
        <f>H64*G63</f>
        <v>4.243553544197759E-2</v>
      </c>
      <c r="Q64" s="7">
        <f>H63*H64</f>
        <v>1.7964376670437175E-2</v>
      </c>
      <c r="R64" s="8">
        <f>I63*H64</f>
        <v>5.7036895928638037E-3</v>
      </c>
      <c r="S64" s="8">
        <f>J63*H64</f>
        <v>1.4487371565874061E-3</v>
      </c>
      <c r="X64" s="38" t="s">
        <v>60</v>
      </c>
      <c r="Y64" s="39"/>
      <c r="Z64" s="5">
        <f>SUM(P61,O61,N61,N62,N63,O62)</f>
        <v>0.34948402228704245</v>
      </c>
    </row>
    <row r="65" spans="4:26" x14ac:dyDescent="0.2">
      <c r="L65" s="50"/>
      <c r="M65" s="4">
        <v>4</v>
      </c>
      <c r="N65" s="11">
        <f>I64*E63</f>
        <v>2.7362487977963104E-2</v>
      </c>
      <c r="O65" s="11">
        <f>I64*F63</f>
        <v>3.4750359732013139E-2</v>
      </c>
      <c r="P65" s="11">
        <f>I64*G63</f>
        <v>2.2066478429828347E-2</v>
      </c>
      <c r="Q65" s="11">
        <f>I64*H63</f>
        <v>9.3414758686273316E-3</v>
      </c>
      <c r="R65" s="7">
        <f>I63*I64</f>
        <v>2.9659185882891779E-3</v>
      </c>
      <c r="S65" s="8">
        <f>J63*I64</f>
        <v>7.5334332142545121E-4</v>
      </c>
      <c r="X65" s="38" t="s">
        <v>61</v>
      </c>
      <c r="Y65" s="39"/>
      <c r="Z65" s="5">
        <f>SUM(N61,O61,P61,P62,O62,N62,N63,O63)</f>
        <v>0.50472106218996948</v>
      </c>
    </row>
    <row r="66" spans="4:26" x14ac:dyDescent="0.2">
      <c r="L66" s="51"/>
      <c r="M66" s="4">
        <v>5</v>
      </c>
      <c r="N66" s="11">
        <f>J64*E63</f>
        <v>1.1382794998832655E-2</v>
      </c>
      <c r="O66" s="11">
        <f>J64*F63</f>
        <v>1.445614964851747E-2</v>
      </c>
      <c r="P66" s="11">
        <f>J64*G63</f>
        <v>9.1796550268085936E-3</v>
      </c>
      <c r="Q66" s="11">
        <f>J64*H63</f>
        <v>3.8860539613489713E-3</v>
      </c>
      <c r="R66" s="11">
        <f>J64*I63</f>
        <v>1.2338221327282985E-3</v>
      </c>
      <c r="S66" s="7">
        <f>J63*J64</f>
        <v>3.1339082171298778E-4</v>
      </c>
      <c r="U66" s="20"/>
      <c r="V66" s="20"/>
    </row>
    <row r="68" spans="4:26" x14ac:dyDescent="0.2">
      <c r="D68" s="41" t="s">
        <v>18</v>
      </c>
      <c r="E68" s="42"/>
      <c r="F68" s="43"/>
      <c r="H68" s="29" t="s">
        <v>18</v>
      </c>
      <c r="I68" s="29"/>
      <c r="J68" s="29"/>
    </row>
    <row r="69" spans="4:26" x14ac:dyDescent="0.2">
      <c r="D69" s="38" t="s">
        <v>2</v>
      </c>
      <c r="E69" s="39"/>
      <c r="F69" s="12">
        <f>(V60-1)^2+(V61-0)^2+(V62-0)^2</f>
        <v>0.93354231436250168</v>
      </c>
      <c r="H69" s="31" t="s">
        <v>2</v>
      </c>
      <c r="I69" s="31"/>
      <c r="J69" s="12">
        <f>(1/3.2-1)^2+(1/4-0)^2+(1/2-0)^2</f>
        <v>0.78515625</v>
      </c>
    </row>
    <row r="70" spans="4:26" x14ac:dyDescent="0.2">
      <c r="D70" s="38" t="s">
        <v>8</v>
      </c>
      <c r="E70" s="39"/>
      <c r="F70" s="12">
        <f>(V60-0)^2+(V61-1)^2+(V62-0)^2</f>
        <v>0.96794497183700856</v>
      </c>
      <c r="H70" s="31" t="s">
        <v>8</v>
      </c>
      <c r="I70" s="31"/>
      <c r="J70" s="12">
        <f>(1/3.2-0)^2+(1/4-1)^2+(1/2-0)^2</f>
        <v>0.91015625</v>
      </c>
    </row>
    <row r="71" spans="4:26" x14ac:dyDescent="0.2">
      <c r="D71" s="38" t="s">
        <v>7</v>
      </c>
      <c r="E71" s="39"/>
      <c r="F71" s="12">
        <f>(V60-0)^2+(V61-0)^2+(V62-1)^2</f>
        <v>0.30677188701247826</v>
      </c>
      <c r="H71" s="31" t="s">
        <v>7</v>
      </c>
      <c r="I71" s="31"/>
      <c r="J71" s="12">
        <f>(1/3.2-0)^2+(1/4-0)^2+(1/2-1)^2</f>
        <v>0.41015625</v>
      </c>
    </row>
    <row r="74" spans="4:26" x14ac:dyDescent="0.2">
      <c r="D74" s="25" t="s">
        <v>68</v>
      </c>
      <c r="E74" s="17">
        <f>MIN(F69:F71)</f>
        <v>0.30677188701247826</v>
      </c>
      <c r="H74" s="25" t="s">
        <v>68</v>
      </c>
      <c r="I74" s="17">
        <f>MIN(J69:J71)</f>
        <v>0.41015625</v>
      </c>
    </row>
    <row r="75" spans="4:26" x14ac:dyDescent="0.2">
      <c r="D75" s="25" t="s">
        <v>69</v>
      </c>
      <c r="E75" s="24">
        <f>1-E74/2</f>
        <v>0.84661405649376087</v>
      </c>
      <c r="H75" s="25" t="s">
        <v>69</v>
      </c>
      <c r="I75" s="24">
        <f>1-I74/2</f>
        <v>0.794921875</v>
      </c>
    </row>
    <row r="76" spans="4:26" x14ac:dyDescent="0.2">
      <c r="D76" s="25" t="s">
        <v>70</v>
      </c>
      <c r="E76" s="17">
        <f>150*(E75^2)+50*E75-100</f>
        <v>49.844006922611186</v>
      </c>
      <c r="H76" s="25" t="s">
        <v>70</v>
      </c>
      <c r="I76" s="17">
        <f>150*(I75^2)+50*I75-100</f>
        <v>34.531211853027344</v>
      </c>
    </row>
    <row r="85" spans="1:29" x14ac:dyDescent="0.2">
      <c r="B85" s="2" t="s">
        <v>0</v>
      </c>
      <c r="C85" t="s">
        <v>76</v>
      </c>
    </row>
    <row r="86" spans="1:29" x14ac:dyDescent="0.2">
      <c r="A86" s="3" t="s">
        <v>1</v>
      </c>
      <c r="B86" s="4">
        <v>1.5</v>
      </c>
      <c r="C86" t="s">
        <v>71</v>
      </c>
      <c r="N86" s="52" t="s">
        <v>2</v>
      </c>
      <c r="O86" s="53"/>
      <c r="P86" s="53"/>
      <c r="Q86" s="53"/>
      <c r="R86" s="53"/>
      <c r="S86" s="54"/>
      <c r="U86" s="41" t="s">
        <v>65</v>
      </c>
      <c r="V86" s="43"/>
    </row>
    <row r="87" spans="1:29" x14ac:dyDescent="0.2">
      <c r="A87" s="3" t="s">
        <v>5</v>
      </c>
      <c r="B87" s="4">
        <v>1.88</v>
      </c>
      <c r="C87" t="s">
        <v>72</v>
      </c>
      <c r="D87" s="34"/>
      <c r="E87" s="34"/>
      <c r="F87" s="34"/>
      <c r="G87" s="34"/>
      <c r="H87" s="34"/>
      <c r="I87" s="34"/>
      <c r="N87" s="4">
        <v>0</v>
      </c>
      <c r="O87" s="4">
        <v>1</v>
      </c>
      <c r="P87" s="4">
        <v>2</v>
      </c>
      <c r="Q87" s="4">
        <v>3</v>
      </c>
      <c r="R87" s="4">
        <v>4</v>
      </c>
      <c r="S87" s="4">
        <v>5</v>
      </c>
      <c r="U87" s="4" t="s">
        <v>52</v>
      </c>
      <c r="V87" s="5">
        <f>SUM(O88,P88,P89,Q88,Q89,Q90,R88,R89,R90,R91,S88,S89,S90,S91,S92)</f>
        <v>0.30523609551039621</v>
      </c>
      <c r="X87" s="44" t="s">
        <v>66</v>
      </c>
      <c r="Y87" s="45"/>
      <c r="Z87" s="46"/>
      <c r="AB87" s="47" t="s">
        <v>67</v>
      </c>
      <c r="AC87" s="48"/>
    </row>
    <row r="88" spans="1:29" x14ac:dyDescent="0.2">
      <c r="L88" s="49" t="s">
        <v>7</v>
      </c>
      <c r="M88" s="4">
        <v>0</v>
      </c>
      <c r="N88" s="7">
        <f>E90*E91</f>
        <v>3.4047454734599344E-2</v>
      </c>
      <c r="O88" s="27">
        <f>F90*E91</f>
        <v>5.1071182101899024E-2</v>
      </c>
      <c r="P88" s="27">
        <f>G90*E91</f>
        <v>3.8303386576424264E-2</v>
      </c>
      <c r="Q88" s="27">
        <f>H90*E91</f>
        <v>1.9151693288212132E-2</v>
      </c>
      <c r="R88" s="27">
        <f>I90*E91</f>
        <v>7.1818849830795487E-3</v>
      </c>
      <c r="S88" s="27">
        <f>J90*E91</f>
        <v>2.1545654949238647E-3</v>
      </c>
      <c r="U88" s="4" t="s">
        <v>51</v>
      </c>
      <c r="V88" s="5">
        <f>SUM(N88,O89,P90,Q91,R92,S93)</f>
        <v>0.22312030649794062</v>
      </c>
      <c r="X88" s="38" t="s">
        <v>57</v>
      </c>
      <c r="Y88" s="39"/>
      <c r="Z88" s="9">
        <f>SUM(N88:S93)-N88</f>
        <v>0.9489408119974001</v>
      </c>
      <c r="AB88" s="17" t="s">
        <v>62</v>
      </c>
      <c r="AC88" s="5">
        <f>SUM(O89:S93)</f>
        <v>0.64480950080874255</v>
      </c>
    </row>
    <row r="89" spans="1:29" x14ac:dyDescent="0.2">
      <c r="E89" s="6">
        <v>0</v>
      </c>
      <c r="F89" s="6">
        <v>1</v>
      </c>
      <c r="G89" s="6">
        <v>2</v>
      </c>
      <c r="H89" s="6">
        <v>3</v>
      </c>
      <c r="I89" s="6">
        <v>4</v>
      </c>
      <c r="J89" s="6">
        <v>5</v>
      </c>
      <c r="L89" s="50"/>
      <c r="M89" s="4">
        <v>1</v>
      </c>
      <c r="N89" s="11">
        <f>F91*E90</f>
        <v>6.4009214901046774E-2</v>
      </c>
      <c r="O89" s="55">
        <f>F90*F91</f>
        <v>9.6013822351570161E-2</v>
      </c>
      <c r="P89" s="27">
        <f>G90*F91</f>
        <v>7.2010366763677613E-2</v>
      </c>
      <c r="Q89" s="27">
        <f>H90*F91</f>
        <v>3.6005183381838807E-2</v>
      </c>
      <c r="R89" s="27">
        <f>I90*F91</f>
        <v>1.3501943768189553E-2</v>
      </c>
      <c r="S89" s="27">
        <f>J90*F91</f>
        <v>4.0505831304568658E-3</v>
      </c>
      <c r="U89" s="4" t="s">
        <v>53</v>
      </c>
      <c r="V89" s="5">
        <f>SUM(N89,N90,N91,N92,N93,O90,O91,O92,O93,P91,P92,P93,Q92,Q93,R93)</f>
        <v>0.45463186472366279</v>
      </c>
      <c r="X89" s="38" t="s">
        <v>58</v>
      </c>
      <c r="Y89" s="39"/>
      <c r="Z89" s="5">
        <f>SUM(O89,O90,O91,O92,O93,N90,N91,N92,N93,P88,P89,P90,P91,P92,P93,Q88,Q89,Q90,Q91,Q92,Q93,R88,R89,R90,R91,R92,R93,S88,S89,S90,S91,S92,S93)</f>
        <v>0.83386041499445462</v>
      </c>
      <c r="AB89" s="17" t="s">
        <v>63</v>
      </c>
      <c r="AC89" s="19">
        <f>1-AC88</f>
        <v>0.35519049919125745</v>
      </c>
    </row>
    <row r="90" spans="1:29" x14ac:dyDescent="0.2">
      <c r="D90" s="10" t="s">
        <v>49</v>
      </c>
      <c r="E90" s="1">
        <f>(EXP(-$B$86)*($B$86^E89))/FACT(E89)</f>
        <v>0.22313016014842982</v>
      </c>
      <c r="F90" s="1">
        <f t="shared" ref="F90:J90" si="6">(EXP(-$B$86)*($B$86^F89))/FACT(F89)</f>
        <v>0.33469524022264474</v>
      </c>
      <c r="G90" s="1">
        <f t="shared" si="6"/>
        <v>0.25102143016698353</v>
      </c>
      <c r="H90" s="1">
        <f t="shared" si="6"/>
        <v>0.12551071508349176</v>
      </c>
      <c r="I90" s="1">
        <f t="shared" si="6"/>
        <v>4.7066518156309411E-2</v>
      </c>
      <c r="J90" s="1">
        <f t="shared" si="6"/>
        <v>1.4119955446892825E-2</v>
      </c>
      <c r="L90" s="50"/>
      <c r="M90" s="4">
        <v>2</v>
      </c>
      <c r="N90" s="11">
        <f>G91*E90</f>
        <v>6.016866200698396E-2</v>
      </c>
      <c r="O90" s="11">
        <f>G91*F90</f>
        <v>9.0252993010475943E-2</v>
      </c>
      <c r="P90" s="7">
        <f>G90*G91</f>
        <v>6.7689744757856954E-2</v>
      </c>
      <c r="Q90" s="27">
        <f>H90*G91</f>
        <v>3.3844872378928477E-2</v>
      </c>
      <c r="R90" s="27">
        <f>I90*G91</f>
        <v>1.2691827142098178E-2</v>
      </c>
      <c r="S90" s="8">
        <f>J90*G91</f>
        <v>3.8075481426294538E-3</v>
      </c>
      <c r="X90" s="38" t="s">
        <v>59</v>
      </c>
      <c r="Y90" s="39"/>
      <c r="Z90" s="5">
        <f>SUM(N91,N92,N93,O90,O91,O92,O93,P89,P90,P91,P92,P93,Q88,Q89,Q90,Q91,Q92,Q93,R88,R89,R90,R91,R92,R93,S88,S89,S90,S91,S92,S93)</f>
        <v>0.63937454405947625</v>
      </c>
    </row>
    <row r="91" spans="1:29" x14ac:dyDescent="0.2">
      <c r="D91" s="10" t="s">
        <v>50</v>
      </c>
      <c r="E91" s="1">
        <f>(EXP(-$B$87)*($B$87^E89))/FACT(E89)</f>
        <v>0.15259010575688389</v>
      </c>
      <c r="F91" s="1">
        <f t="shared" ref="F91:J91" si="7">(EXP(-$B$87)*($B$87^F89))/FACT(F89)</f>
        <v>0.28686939882294171</v>
      </c>
      <c r="G91" s="1">
        <f t="shared" si="7"/>
        <v>0.26965723489356519</v>
      </c>
      <c r="H91" s="1">
        <f t="shared" si="7"/>
        <v>0.16898520053330082</v>
      </c>
      <c r="I91" s="1">
        <f t="shared" si="7"/>
        <v>7.9423044250651401E-2</v>
      </c>
      <c r="J91" s="1">
        <f t="shared" si="7"/>
        <v>2.986306463824492E-2</v>
      </c>
      <c r="L91" s="50"/>
      <c r="M91" s="4">
        <v>3</v>
      </c>
      <c r="N91" s="11">
        <f>H91*E90</f>
        <v>3.7705694857709943E-2</v>
      </c>
      <c r="O91" s="11">
        <f>H91*F90</f>
        <v>5.6558542286564914E-2</v>
      </c>
      <c r="P91" s="11">
        <f>H91*G90</f>
        <v>4.2418906714923682E-2</v>
      </c>
      <c r="Q91" s="7">
        <f>H90*H91</f>
        <v>2.1209453357461841E-2</v>
      </c>
      <c r="R91" s="27">
        <f>I90*H91</f>
        <v>7.9535450090481904E-3</v>
      </c>
      <c r="S91" s="8">
        <f>J90*H91</f>
        <v>2.3860635027144572E-3</v>
      </c>
      <c r="X91" s="38" t="s">
        <v>60</v>
      </c>
      <c r="Y91" s="39"/>
      <c r="Z91" s="5">
        <f>SUM(P88,O88,N88,N89,N90,O89)</f>
        <v>0.34361372267252355</v>
      </c>
    </row>
    <row r="92" spans="1:29" x14ac:dyDescent="0.2">
      <c r="L92" s="50"/>
      <c r="M92" s="4">
        <v>4</v>
      </c>
      <c r="N92" s="11">
        <f>I91*E90</f>
        <v>1.7721676583123677E-2</v>
      </c>
      <c r="O92" s="11">
        <f>I91*F90</f>
        <v>2.6582514874685513E-2</v>
      </c>
      <c r="P92" s="11">
        <f>I91*G90</f>
        <v>1.9936886156014133E-2</v>
      </c>
      <c r="Q92" s="11">
        <f>I91*H90</f>
        <v>9.9684430780070665E-3</v>
      </c>
      <c r="R92" s="7">
        <f>I90*I91</f>
        <v>3.7381661542526499E-3</v>
      </c>
      <c r="S92" s="8">
        <f>J90*I91</f>
        <v>1.1214498462757952E-3</v>
      </c>
      <c r="X92" s="38" t="s">
        <v>61</v>
      </c>
      <c r="Y92" s="39"/>
      <c r="Z92" s="5">
        <f>SUM(N88,O88,P88,P89,O89,N89,N90,O90)</f>
        <v>0.50587708244667706</v>
      </c>
    </row>
    <row r="93" spans="1:29" x14ac:dyDescent="0.2">
      <c r="L93" s="51"/>
      <c r="M93" s="4">
        <v>5</v>
      </c>
      <c r="N93" s="11">
        <f>J91*E90</f>
        <v>6.6633503952545003E-3</v>
      </c>
      <c r="O93" s="11">
        <f>J91*F90</f>
        <v>9.9950255928817518E-3</v>
      </c>
      <c r="P93" s="11">
        <f>J91*G90</f>
        <v>7.4962691946613121E-3</v>
      </c>
      <c r="Q93" s="11">
        <f>J91*H90</f>
        <v>3.748134597330656E-3</v>
      </c>
      <c r="R93" s="11">
        <f>J91*I90</f>
        <v>1.4055504739989961E-3</v>
      </c>
      <c r="S93" s="7">
        <f>J90*J91</f>
        <v>4.2166514219969884E-4</v>
      </c>
      <c r="U93" s="20"/>
      <c r="V93" s="20"/>
    </row>
    <row r="95" spans="1:29" x14ac:dyDescent="0.2">
      <c r="D95" s="41" t="s">
        <v>18</v>
      </c>
      <c r="E95" s="42"/>
      <c r="F95" s="43"/>
      <c r="H95" s="29" t="s">
        <v>18</v>
      </c>
      <c r="I95" s="29"/>
      <c r="J95" s="29"/>
    </row>
    <row r="96" spans="1:29" x14ac:dyDescent="0.2">
      <c r="D96" s="38" t="s">
        <v>2</v>
      </c>
      <c r="E96" s="39"/>
      <c r="F96" s="12">
        <f>(V87-1)^2+(V88-0)^2+(V89-0)^2</f>
        <v>0.73916968657548909</v>
      </c>
      <c r="H96" s="31" t="s">
        <v>2</v>
      </c>
      <c r="I96" s="31"/>
      <c r="J96" s="12">
        <f>(1/2.25-1)^2+(1/3.6-0)^2+(1/3-0)^2</f>
        <v>0.49691358024691362</v>
      </c>
    </row>
    <row r="97" spans="3:11" x14ac:dyDescent="0.2">
      <c r="D97" s="38" t="s">
        <v>8</v>
      </c>
      <c r="E97" s="39"/>
      <c r="F97" s="12">
        <f>(V87-0)^2+(V88-1)^2+(V89-0)^2</f>
        <v>0.90340126460040038</v>
      </c>
      <c r="H97" s="31" t="s">
        <v>8</v>
      </c>
      <c r="I97" s="31"/>
      <c r="J97" s="12">
        <f>(1/2.25-0)^2+(1/3.6-1)^2+(1/3-0)^2</f>
        <v>0.83024691358024683</v>
      </c>
    </row>
    <row r="98" spans="3:11" x14ac:dyDescent="0.2">
      <c r="D98" s="38" t="s">
        <v>7</v>
      </c>
      <c r="E98" s="39"/>
      <c r="F98" s="12">
        <f>(V87-0)^2+(V88-0)^2+(V89-1)^2</f>
        <v>0.44037814814895593</v>
      </c>
      <c r="H98" s="31" t="s">
        <v>7</v>
      </c>
      <c r="I98" s="31"/>
      <c r="J98" s="12">
        <f>(1/2.25-0)^2+(1/3.6-0)^2+(1/3-1)^2</f>
        <v>0.71913580246913589</v>
      </c>
    </row>
    <row r="101" spans="3:11" x14ac:dyDescent="0.2">
      <c r="D101" s="25" t="s">
        <v>68</v>
      </c>
      <c r="E101" s="17">
        <f>MIN(F96:F98)</f>
        <v>0.44037814814895593</v>
      </c>
      <c r="H101" s="25" t="s">
        <v>68</v>
      </c>
      <c r="I101" s="17">
        <f>MIN(J96:J98)</f>
        <v>0.49691358024691362</v>
      </c>
    </row>
    <row r="102" spans="3:11" x14ac:dyDescent="0.2">
      <c r="D102" s="25" t="s">
        <v>69</v>
      </c>
      <c r="E102" s="24">
        <f>1-E101/2</f>
        <v>0.77981092592552204</v>
      </c>
      <c r="H102" s="25" t="s">
        <v>69</v>
      </c>
      <c r="I102" s="24">
        <f>1-I101/2</f>
        <v>0.75154320987654322</v>
      </c>
    </row>
    <row r="103" spans="3:11" x14ac:dyDescent="0.2">
      <c r="D103" s="25" t="s">
        <v>70</v>
      </c>
      <c r="E103" s="17">
        <f>150*(E102^2)+50*E102-100</f>
        <v>30.206308325199103</v>
      </c>
      <c r="H103" s="25" t="s">
        <v>70</v>
      </c>
      <c r="I103" s="17">
        <f>150*(I102^2)+50*I102-100</f>
        <v>22.299739940557856</v>
      </c>
    </row>
    <row r="109" spans="3:11" x14ac:dyDescent="0.2">
      <c r="C109" s="56"/>
      <c r="D109" s="56"/>
      <c r="E109" s="56"/>
      <c r="F109" s="56"/>
      <c r="G109" s="56"/>
      <c r="H109" s="56"/>
      <c r="I109" s="56"/>
      <c r="J109" s="56"/>
      <c r="K109" s="56"/>
    </row>
    <row r="111" spans="3:11" x14ac:dyDescent="0.2">
      <c r="D111" s="41" t="s">
        <v>79</v>
      </c>
      <c r="E111" s="42"/>
      <c r="F111" s="43"/>
      <c r="H111" s="29" t="s">
        <v>80</v>
      </c>
      <c r="I111" s="29"/>
      <c r="J111" s="29"/>
    </row>
    <row r="112" spans="3:11" x14ac:dyDescent="0.2">
      <c r="D112" s="38" t="s">
        <v>2</v>
      </c>
      <c r="E112" s="39"/>
      <c r="F112" s="12">
        <f>AVERAGE(F15,F41,F69,F96)</f>
        <v>0.69705975633555095</v>
      </c>
      <c r="H112" s="31" t="s">
        <v>2</v>
      </c>
      <c r="I112" s="31"/>
      <c r="J112" s="12">
        <f>AVERAGE(J15,J41,J69,J96)</f>
        <v>0.67059660989095127</v>
      </c>
    </row>
    <row r="113" spans="4:10" x14ac:dyDescent="0.2">
      <c r="D113" s="38" t="s">
        <v>8</v>
      </c>
      <c r="E113" s="39"/>
      <c r="F113" s="12">
        <f t="shared" ref="F113:F114" si="8">AVERAGE(F16,F42,F70,F97)</f>
        <v>0.87772472424575387</v>
      </c>
      <c r="H113" s="31" t="s">
        <v>8</v>
      </c>
      <c r="I113" s="31"/>
      <c r="J113" s="12">
        <f t="shared" ref="J113:J114" si="9">AVERAGE(J16,J42,J70,J97)</f>
        <v>0.84206644432985256</v>
      </c>
    </row>
    <row r="114" spans="4:10" x14ac:dyDescent="0.2">
      <c r="D114" s="38" t="s">
        <v>7</v>
      </c>
      <c r="E114" s="39"/>
      <c r="F114" s="12">
        <f t="shared" si="8"/>
        <v>0.51350402529306038</v>
      </c>
      <c r="H114" s="31" t="s">
        <v>7</v>
      </c>
      <c r="I114" s="31"/>
      <c r="J114" s="12">
        <f t="shared" si="9"/>
        <v>0.54312085673377442</v>
      </c>
    </row>
    <row r="116" spans="4:10" x14ac:dyDescent="0.2">
      <c r="D116" t="s">
        <v>81</v>
      </c>
      <c r="H116" t="s">
        <v>81</v>
      </c>
    </row>
    <row r="117" spans="4:10" x14ac:dyDescent="0.2">
      <c r="D117" s="25" t="s">
        <v>68</v>
      </c>
      <c r="E117" s="17">
        <f>MIN(F112:F114)</f>
        <v>0.51350402529306038</v>
      </c>
      <c r="H117" s="25" t="s">
        <v>68</v>
      </c>
      <c r="I117" s="17">
        <f>MIN(J112:J114)</f>
        <v>0.54312085673377442</v>
      </c>
    </row>
    <row r="118" spans="4:10" x14ac:dyDescent="0.2">
      <c r="D118" s="25" t="s">
        <v>69</v>
      </c>
      <c r="E118" s="24">
        <f>1-E117/2</f>
        <v>0.74324798735346986</v>
      </c>
      <c r="H118" s="25" t="s">
        <v>69</v>
      </c>
      <c r="I118" s="24">
        <f>1-I117/2</f>
        <v>0.72843957163311279</v>
      </c>
    </row>
    <row r="119" spans="4:10" x14ac:dyDescent="0.2">
      <c r="D119" s="25" t="s">
        <v>70</v>
      </c>
      <c r="E119" s="17">
        <f>150*(E118^2)+50*E118-100</f>
        <v>20.025034973421043</v>
      </c>
      <c r="H119" s="25" t="s">
        <v>70</v>
      </c>
      <c r="I119" s="17">
        <f>150*(I118^2)+50*I118-100</f>
        <v>16.015610009810558</v>
      </c>
    </row>
  </sheetData>
  <mergeCells count="86">
    <mergeCell ref="D112:E112"/>
    <mergeCell ref="H112:I112"/>
    <mergeCell ref="D113:E113"/>
    <mergeCell ref="H113:I113"/>
    <mergeCell ref="D114:E114"/>
    <mergeCell ref="H114:I114"/>
    <mergeCell ref="H69:I69"/>
    <mergeCell ref="H70:I70"/>
    <mergeCell ref="H71:I71"/>
    <mergeCell ref="D111:F111"/>
    <mergeCell ref="H111:J111"/>
    <mergeCell ref="C109:K109"/>
    <mergeCell ref="AB87:AC87"/>
    <mergeCell ref="H95:J95"/>
    <mergeCell ref="H96:I96"/>
    <mergeCell ref="H97:I97"/>
    <mergeCell ref="H98:I98"/>
    <mergeCell ref="X87:Z87"/>
    <mergeCell ref="L88:L93"/>
    <mergeCell ref="X88:Y88"/>
    <mergeCell ref="X89:Y89"/>
    <mergeCell ref="X90:Y90"/>
    <mergeCell ref="X91:Y91"/>
    <mergeCell ref="X92:Y92"/>
    <mergeCell ref="AB5:AC5"/>
    <mergeCell ref="L6:L11"/>
    <mergeCell ref="X6:Y6"/>
    <mergeCell ref="X7:Y7"/>
    <mergeCell ref="X8:Y8"/>
    <mergeCell ref="X9:Y9"/>
    <mergeCell ref="X10:Y10"/>
    <mergeCell ref="U11:V11"/>
    <mergeCell ref="X5:Z5"/>
    <mergeCell ref="D14:F14"/>
    <mergeCell ref="D15:E15"/>
    <mergeCell ref="N4:S4"/>
    <mergeCell ref="U4:V4"/>
    <mergeCell ref="D5:I5"/>
    <mergeCell ref="H14:J14"/>
    <mergeCell ref="H15:I15"/>
    <mergeCell ref="N31:S31"/>
    <mergeCell ref="U31:V31"/>
    <mergeCell ref="D32:I32"/>
    <mergeCell ref="D16:E16"/>
    <mergeCell ref="D17:E17"/>
    <mergeCell ref="H16:I16"/>
    <mergeCell ref="H17:I17"/>
    <mergeCell ref="U59:V59"/>
    <mergeCell ref="X32:Z32"/>
    <mergeCell ref="AB32:AC32"/>
    <mergeCell ref="L33:L38"/>
    <mergeCell ref="X33:Y33"/>
    <mergeCell ref="X34:Y34"/>
    <mergeCell ref="X35:Y35"/>
    <mergeCell ref="X36:Y36"/>
    <mergeCell ref="X37:Y37"/>
    <mergeCell ref="D40:F40"/>
    <mergeCell ref="D41:E41"/>
    <mergeCell ref="D42:E42"/>
    <mergeCell ref="D43:E43"/>
    <mergeCell ref="N59:S59"/>
    <mergeCell ref="H40:J40"/>
    <mergeCell ref="H41:I41"/>
    <mergeCell ref="H42:I42"/>
    <mergeCell ref="H43:I43"/>
    <mergeCell ref="U86:V86"/>
    <mergeCell ref="D60:I60"/>
    <mergeCell ref="X60:Z60"/>
    <mergeCell ref="AB60:AC60"/>
    <mergeCell ref="L61:L66"/>
    <mergeCell ref="X61:Y61"/>
    <mergeCell ref="X62:Y62"/>
    <mergeCell ref="X63:Y63"/>
    <mergeCell ref="X64:Y64"/>
    <mergeCell ref="X65:Y65"/>
    <mergeCell ref="D68:F68"/>
    <mergeCell ref="D69:E69"/>
    <mergeCell ref="D70:E70"/>
    <mergeCell ref="D71:E71"/>
    <mergeCell ref="N86:S86"/>
    <mergeCell ref="H68:J68"/>
    <mergeCell ref="D95:F95"/>
    <mergeCell ref="D96:E96"/>
    <mergeCell ref="D97:E97"/>
    <mergeCell ref="D98:E98"/>
    <mergeCell ref="D87:I87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31119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Planilha3_Finneti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Manoel Cardoso Lima</dc:creator>
  <dc:description/>
  <cp:lastModifiedBy>Manoel Cardoso Lima</cp:lastModifiedBy>
  <cp:revision>14</cp:revision>
  <dcterms:created xsi:type="dcterms:W3CDTF">2025-09-30T01:54:39Z</dcterms:created>
  <dcterms:modified xsi:type="dcterms:W3CDTF">2026-04-29T06:17:04Z</dcterms:modified>
  <dc:language>pt-BR</dc:language>
</cp:coreProperties>
</file>